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yeshajalal/Documents/"/>
    </mc:Choice>
  </mc:AlternateContent>
  <xr:revisionPtr revIDLastSave="0" documentId="8_{7FCB864E-5290-3E49-A933-2389DD166615}" xr6:coauthVersionLast="47" xr6:coauthVersionMax="47" xr10:uidLastSave="{00000000-0000-0000-0000-000000000000}"/>
  <bookViews>
    <workbookView xWindow="0" yWindow="600" windowWidth="28800" windowHeight="16140" activeTab="4" xr2:uid="{00000000-000D-0000-FFFF-FFFF00000000}"/>
  </bookViews>
  <sheets>
    <sheet name="Inventory" sheetId="1" r:id="rId1"/>
    <sheet name="StockIn" sheetId="2" r:id="rId2"/>
    <sheet name="StockOut" sheetId="3" r:id="rId3"/>
    <sheet name="Pivot table" sheetId="4" r:id="rId4"/>
    <sheet name="Dashboard" sheetId="5" r:id="rId5"/>
  </sheet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C2" i="5"/>
  <c r="A2" i="5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I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H2" i="1"/>
  <c r="J2" i="1" l="1"/>
  <c r="K2" i="1"/>
</calcChain>
</file>

<file path=xl/sharedStrings.xml><?xml version="1.0" encoding="utf-8"?>
<sst xmlns="http://schemas.openxmlformats.org/spreadsheetml/2006/main" count="1588" uniqueCount="639">
  <si>
    <t>ItemID</t>
  </si>
  <si>
    <t>ItemName</t>
  </si>
  <si>
    <t>Category</t>
  </si>
  <si>
    <t>UnitPrice</t>
  </si>
  <si>
    <t>ReorderLevel</t>
  </si>
  <si>
    <t>Supplier</t>
  </si>
  <si>
    <t>ITM-001</t>
  </si>
  <si>
    <t>LED Bulb 9W</t>
  </si>
  <si>
    <t>Electronics</t>
  </si>
  <si>
    <t>Prime Distributors</t>
  </si>
  <si>
    <t>ITM-002</t>
  </si>
  <si>
    <t>USB Cable</t>
  </si>
  <si>
    <t>Zaman Enterprises</t>
  </si>
  <si>
    <t>ITM-003</t>
  </si>
  <si>
    <t>Wireless Mouse</t>
  </si>
  <si>
    <t>ITM-004</t>
  </si>
  <si>
    <t>Extension Board</t>
  </si>
  <si>
    <t>Al-Falah Traders</t>
  </si>
  <si>
    <t>ITM-005</t>
  </si>
  <si>
    <t>Calculator</t>
  </si>
  <si>
    <t>ITM-006</t>
  </si>
  <si>
    <t>Power Bank</t>
  </si>
  <si>
    <t>ITM-007</t>
  </si>
  <si>
    <t>A4 Paper Ream</t>
  </si>
  <si>
    <t>Stationery</t>
  </si>
  <si>
    <t>ITM-008</t>
  </si>
  <si>
    <t>Ball Pen Box</t>
  </si>
  <si>
    <t>ITM-009</t>
  </si>
  <si>
    <t>Stapler</t>
  </si>
  <si>
    <t>ITM-010</t>
  </si>
  <si>
    <t>Notebook</t>
  </si>
  <si>
    <t>ITM-011</t>
  </si>
  <si>
    <t>Whiteboard Marker</t>
  </si>
  <si>
    <t>ITM-012</t>
  </si>
  <si>
    <t>File Folder</t>
  </si>
  <si>
    <t>ITM-013</t>
  </si>
  <si>
    <t>Rice Bag 10kg</t>
  </si>
  <si>
    <t>Groceries</t>
  </si>
  <si>
    <t>ITM-014</t>
  </si>
  <si>
    <t>Cooking Oil 5L</t>
  </si>
  <si>
    <t>Khan Suppliers</t>
  </si>
  <si>
    <t>ITM-015</t>
  </si>
  <si>
    <t>Sugar Bag 5kg</t>
  </si>
  <si>
    <t>ITM-016</t>
  </si>
  <si>
    <t>Tea Pack</t>
  </si>
  <si>
    <t>ITM-017</t>
  </si>
  <si>
    <t>Flour Bag 10kg</t>
  </si>
  <si>
    <t>ITM-018</t>
  </si>
  <si>
    <t>Salt Pack</t>
  </si>
  <si>
    <t>ITM-019</t>
  </si>
  <si>
    <t>Office Chair</t>
  </si>
  <si>
    <t>Furniture</t>
  </si>
  <si>
    <t>ITM-020</t>
  </si>
  <si>
    <t>Study Table</t>
  </si>
  <si>
    <t>ITM-021</t>
  </si>
  <si>
    <t>Bookshelf</t>
  </si>
  <si>
    <t>ITM-022</t>
  </si>
  <si>
    <t>Filing Cabinet</t>
  </si>
  <si>
    <t>ITM-023</t>
  </si>
  <si>
    <t>Whiteboard Stand</t>
  </si>
  <si>
    <t>ITM-024</t>
  </si>
  <si>
    <t>Floor Cleaner 1L</t>
  </si>
  <si>
    <t>Cleaning Supplies</t>
  </si>
  <si>
    <t>ITM-025</t>
  </si>
  <si>
    <t>Dish Soap</t>
  </si>
  <si>
    <t>ITM-026</t>
  </si>
  <si>
    <t>Tissue Box</t>
  </si>
  <si>
    <t>ITM-027</t>
  </si>
  <si>
    <t>Hand Sanitizer</t>
  </si>
  <si>
    <t>ITM-028</t>
  </si>
  <si>
    <t>Broom</t>
  </si>
  <si>
    <t>City Wholesale</t>
  </si>
  <si>
    <t>ITM-029</t>
  </si>
  <si>
    <t>Trash Bags Pack</t>
  </si>
  <si>
    <t>ITM-030</t>
  </si>
  <si>
    <t>Cardboard Box M</t>
  </si>
  <si>
    <t>Packaging</t>
  </si>
  <si>
    <t>ITM-031</t>
  </si>
  <si>
    <t>Bubble Wrap Roll</t>
  </si>
  <si>
    <t>ITM-032</t>
  </si>
  <si>
    <t>Packing Tape</t>
  </si>
  <si>
    <t>ITM-033</t>
  </si>
  <si>
    <t>Courier Bags</t>
  </si>
  <si>
    <t>ITM-034</t>
  </si>
  <si>
    <t>Labels Sheet</t>
  </si>
  <si>
    <t>TransactionID</t>
  </si>
  <si>
    <t>Date</t>
  </si>
  <si>
    <t>QuantityReceived</t>
  </si>
  <si>
    <t>IN-0172</t>
  </si>
  <si>
    <t>2026-03-01</t>
  </si>
  <si>
    <t>IN-0102</t>
  </si>
  <si>
    <t>IN-0085</t>
  </si>
  <si>
    <t>IN-0109</t>
  </si>
  <si>
    <t>2026-03-02</t>
  </si>
  <si>
    <t>IN-0151</t>
  </si>
  <si>
    <t>2026-03-03</t>
  </si>
  <si>
    <t>IN-0157</t>
  </si>
  <si>
    <t>IN-0136</t>
  </si>
  <si>
    <t>IN-0148</t>
  </si>
  <si>
    <t>2026-03-06</t>
  </si>
  <si>
    <t>IN-0103</t>
  </si>
  <si>
    <t>2026-03-07</t>
  </si>
  <si>
    <t>IN-0024</t>
  </si>
  <si>
    <t>2026-03-08</t>
  </si>
  <si>
    <t>IN-0023</t>
  </si>
  <si>
    <t>2026-03-09</t>
  </si>
  <si>
    <t>IN-0156</t>
  </si>
  <si>
    <t>IN-0158</t>
  </si>
  <si>
    <t>IN-0017</t>
  </si>
  <si>
    <t>2026-03-10</t>
  </si>
  <si>
    <t>IN-0100</t>
  </si>
  <si>
    <t>2026-03-11</t>
  </si>
  <si>
    <t>IN-0026</t>
  </si>
  <si>
    <t>2026-03-12</t>
  </si>
  <si>
    <t>IN-0060</t>
  </si>
  <si>
    <t>2026-03-13</t>
  </si>
  <si>
    <t>IN-0104</t>
  </si>
  <si>
    <t>2026-03-15</t>
  </si>
  <si>
    <t>IN-0174</t>
  </si>
  <si>
    <t>2026-03-16</t>
  </si>
  <si>
    <t>IN-0049</t>
  </si>
  <si>
    <t>IN-0173</t>
  </si>
  <si>
    <t>2026-03-17</t>
  </si>
  <si>
    <t>IN-0143</t>
  </si>
  <si>
    <t>IN-0046</t>
  </si>
  <si>
    <t>IN-0171</t>
  </si>
  <si>
    <t>2026-03-19</t>
  </si>
  <si>
    <t>IN-0058</t>
  </si>
  <si>
    <t>IN-0052</t>
  </si>
  <si>
    <t>2026-03-22</t>
  </si>
  <si>
    <t>IN-0137</t>
  </si>
  <si>
    <t>2026-03-23</t>
  </si>
  <si>
    <t>IN-0107</t>
  </si>
  <si>
    <t>2026-03-24</t>
  </si>
  <si>
    <t>IN-0075</t>
  </si>
  <si>
    <t>2026-03-27</t>
  </si>
  <si>
    <t>IN-0178</t>
  </si>
  <si>
    <t>2026-03-28</t>
  </si>
  <si>
    <t>IN-0160</t>
  </si>
  <si>
    <t>IN-0135</t>
  </si>
  <si>
    <t>2026-03-30</t>
  </si>
  <si>
    <t>IN-0144</t>
  </si>
  <si>
    <t>IN-0114</t>
  </si>
  <si>
    <t>2026-03-31</t>
  </si>
  <si>
    <t>IN-0105</t>
  </si>
  <si>
    <t>2026-04-01</t>
  </si>
  <si>
    <t>IN-0161</t>
  </si>
  <si>
    <t>IN-0019</t>
  </si>
  <si>
    <t>IN-0099</t>
  </si>
  <si>
    <t>2026-04-02</t>
  </si>
  <si>
    <t>IN-0176</t>
  </si>
  <si>
    <t>IN-0057</t>
  </si>
  <si>
    <t>2026-04-03</t>
  </si>
  <si>
    <t>IN-0032</t>
  </si>
  <si>
    <t>IN-0016</t>
  </si>
  <si>
    <t>2026-04-04</t>
  </si>
  <si>
    <t>IN-0038</t>
  </si>
  <si>
    <t>IN-0012</t>
  </si>
  <si>
    <t>2026-04-05</t>
  </si>
  <si>
    <t>IN-0086</t>
  </si>
  <si>
    <t>IN-0112</t>
  </si>
  <si>
    <t>IN-0093</t>
  </si>
  <si>
    <t>2026-04-06</t>
  </si>
  <si>
    <t>IN-0048</t>
  </si>
  <si>
    <t>2026-04-07</t>
  </si>
  <si>
    <t>IN-0101</t>
  </si>
  <si>
    <t>2026-04-08</t>
  </si>
  <si>
    <t>IN-0079</t>
  </si>
  <si>
    <t>2026-04-09</t>
  </si>
  <si>
    <t>IN-0155</t>
  </si>
  <si>
    <t>2026-04-10</t>
  </si>
  <si>
    <t>IN-0132</t>
  </si>
  <si>
    <t>IN-0076</t>
  </si>
  <si>
    <t>2026-04-11</t>
  </si>
  <si>
    <t>IN-0040</t>
  </si>
  <si>
    <t>2026-04-13</t>
  </si>
  <si>
    <t>IN-0095</t>
  </si>
  <si>
    <t>IN-0010</t>
  </si>
  <si>
    <t>IN-0039</t>
  </si>
  <si>
    <t>2026-04-14</t>
  </si>
  <si>
    <t>IN-0025</t>
  </si>
  <si>
    <t>IN-0014</t>
  </si>
  <si>
    <t>2026-04-15</t>
  </si>
  <si>
    <t>IN-0130</t>
  </si>
  <si>
    <t>IN-0015</t>
  </si>
  <si>
    <t>IN-0056</t>
  </si>
  <si>
    <t>IN-0127</t>
  </si>
  <si>
    <t>2026-04-16</t>
  </si>
  <si>
    <t>IN-0029</t>
  </si>
  <si>
    <t>2026-04-17</t>
  </si>
  <si>
    <t>IN-0053</t>
  </si>
  <si>
    <t>IN-0125</t>
  </si>
  <si>
    <t>2026-04-18</t>
  </si>
  <si>
    <t>IN-0020</t>
  </si>
  <si>
    <t>IN-0165</t>
  </si>
  <si>
    <t>2026-04-20</t>
  </si>
  <si>
    <t>IN-0117</t>
  </si>
  <si>
    <t>IN-0154</t>
  </si>
  <si>
    <t>2026-04-21</t>
  </si>
  <si>
    <t>IN-0118</t>
  </si>
  <si>
    <t>2026-04-22</t>
  </si>
  <si>
    <t>IN-0139</t>
  </si>
  <si>
    <t>IN-0054</t>
  </si>
  <si>
    <t>2026-04-23</t>
  </si>
  <si>
    <t>IN-0045</t>
  </si>
  <si>
    <t>2026-04-24</t>
  </si>
  <si>
    <t>IN-0169</t>
  </si>
  <si>
    <t>IN-0065</t>
  </si>
  <si>
    <t>2026-04-27</t>
  </si>
  <si>
    <t>IN-0022</t>
  </si>
  <si>
    <t>2026-04-28</t>
  </si>
  <si>
    <t>IN-0120</t>
  </si>
  <si>
    <t>IN-0071</t>
  </si>
  <si>
    <t>2026-04-29</t>
  </si>
  <si>
    <t>IN-0121</t>
  </si>
  <si>
    <t>2026-05-02</t>
  </si>
  <si>
    <t>IN-0011</t>
  </si>
  <si>
    <t>2026-05-03</t>
  </si>
  <si>
    <t>IN-0159</t>
  </si>
  <si>
    <t>2026-05-04</t>
  </si>
  <si>
    <t>IN-0094</t>
  </si>
  <si>
    <t>IN-0133</t>
  </si>
  <si>
    <t>2026-05-05</t>
  </si>
  <si>
    <t>IN-0096</t>
  </si>
  <si>
    <t>IN-0089</t>
  </si>
  <si>
    <t>2026-05-06</t>
  </si>
  <si>
    <t>IN-0092</t>
  </si>
  <si>
    <t>2026-05-07</t>
  </si>
  <si>
    <t>IN-0031</t>
  </si>
  <si>
    <t>IN-0033</t>
  </si>
  <si>
    <t>2026-05-08</t>
  </si>
  <si>
    <t>IN-0077</t>
  </si>
  <si>
    <t>IN-0044</t>
  </si>
  <si>
    <t>IN-0074</t>
  </si>
  <si>
    <t>2026-05-09</t>
  </si>
  <si>
    <t>IN-0043</t>
  </si>
  <si>
    <t>2026-05-10</t>
  </si>
  <si>
    <t>IN-0142</t>
  </si>
  <si>
    <t>IN-0091</t>
  </si>
  <si>
    <t>2026-05-11</t>
  </si>
  <si>
    <t>IN-0080</t>
  </si>
  <si>
    <t>2026-05-12</t>
  </si>
  <si>
    <t>IN-0047</t>
  </si>
  <si>
    <t>2026-05-13</t>
  </si>
  <si>
    <t>IN-0180</t>
  </si>
  <si>
    <t>IN-0149</t>
  </si>
  <si>
    <t>2026-05-14</t>
  </si>
  <si>
    <t>IN-0140</t>
  </si>
  <si>
    <t>2026-05-15</t>
  </si>
  <si>
    <t>IN-0124</t>
  </si>
  <si>
    <t>IN-0005</t>
  </si>
  <si>
    <t>2026-05-16</t>
  </si>
  <si>
    <t>IN-0008</t>
  </si>
  <si>
    <t>IN-0150</t>
  </si>
  <si>
    <t>IN-0162</t>
  </si>
  <si>
    <t>2026-05-18</t>
  </si>
  <si>
    <t>IN-0034</t>
  </si>
  <si>
    <t>IN-0084</t>
  </si>
  <si>
    <t>2026-05-19</t>
  </si>
  <si>
    <t>IN-0002</t>
  </si>
  <si>
    <t>IN-0068</t>
  </si>
  <si>
    <t>IN-0021</t>
  </si>
  <si>
    <t>2026-05-22</t>
  </si>
  <si>
    <t>IN-0009</t>
  </si>
  <si>
    <t>2026-05-25</t>
  </si>
  <si>
    <t>IN-0018</t>
  </si>
  <si>
    <t>IN-0147</t>
  </si>
  <si>
    <t>IN-0138</t>
  </si>
  <si>
    <t>2026-05-26</t>
  </si>
  <si>
    <t>IN-0116</t>
  </si>
  <si>
    <t>IN-0004</t>
  </si>
  <si>
    <t>2026-05-27</t>
  </si>
  <si>
    <t>IN-0087</t>
  </si>
  <si>
    <t>IN-0111</t>
  </si>
  <si>
    <t>IN-0097</t>
  </si>
  <si>
    <t>2026-05-29</t>
  </si>
  <si>
    <t>IN-0119</t>
  </si>
  <si>
    <t>IN-0175</t>
  </si>
  <si>
    <t>IN-0090</t>
  </si>
  <si>
    <t>2026-05-30</t>
  </si>
  <si>
    <t>IN-0063</t>
  </si>
  <si>
    <t>2026-05-31</t>
  </si>
  <si>
    <t>IN-0128</t>
  </si>
  <si>
    <t>IN-0028</t>
  </si>
  <si>
    <t>2026-06-01</t>
  </si>
  <si>
    <t>IN-0108</t>
  </si>
  <si>
    <t>IN-0123</t>
  </si>
  <si>
    <t>2026-06-05</t>
  </si>
  <si>
    <t>IN-0129</t>
  </si>
  <si>
    <t>2026-06-06</t>
  </si>
  <si>
    <t>IN-0037</t>
  </si>
  <si>
    <t>IN-0070</t>
  </si>
  <si>
    <t>2026-06-07</t>
  </si>
  <si>
    <t>IN-0050</t>
  </si>
  <si>
    <t>2026-06-08</t>
  </si>
  <si>
    <t>IN-0145</t>
  </si>
  <si>
    <t>IN-0122</t>
  </si>
  <si>
    <t>2026-06-09</t>
  </si>
  <si>
    <t>IN-0152</t>
  </si>
  <si>
    <t>2026-06-10</t>
  </si>
  <si>
    <t>IN-0115</t>
  </si>
  <si>
    <t>2026-06-11</t>
  </si>
  <si>
    <t>IN-0059</t>
  </si>
  <si>
    <t>2026-06-12</t>
  </si>
  <si>
    <t>IN-0042</t>
  </si>
  <si>
    <t>IN-0106</t>
  </si>
  <si>
    <t>IN-0168</t>
  </si>
  <si>
    <t>IN-0078</t>
  </si>
  <si>
    <t>2026-06-13</t>
  </si>
  <si>
    <t>IN-0126</t>
  </si>
  <si>
    <t>IN-0030</t>
  </si>
  <si>
    <t>2026-06-14</t>
  </si>
  <si>
    <t>IN-0003</t>
  </si>
  <si>
    <t>IN-0069</t>
  </si>
  <si>
    <t>IN-0001</t>
  </si>
  <si>
    <t>2026-06-15</t>
  </si>
  <si>
    <t>IN-0007</t>
  </si>
  <si>
    <t>2026-06-16</t>
  </si>
  <si>
    <t>IN-0027</t>
  </si>
  <si>
    <t>IN-0073</t>
  </si>
  <si>
    <t>2026-06-17</t>
  </si>
  <si>
    <t>IN-0064</t>
  </si>
  <si>
    <t>2026-06-20</t>
  </si>
  <si>
    <t>IN-0164</t>
  </si>
  <si>
    <t>IN-0166</t>
  </si>
  <si>
    <t>2026-06-21</t>
  </si>
  <si>
    <t>IN-0081</t>
  </si>
  <si>
    <t>2026-06-22</t>
  </si>
  <si>
    <t>IN-0035</t>
  </si>
  <si>
    <t>IN-0072</t>
  </si>
  <si>
    <t>2026-06-23</t>
  </si>
  <si>
    <t>IN-0153</t>
  </si>
  <si>
    <t>IN-0083</t>
  </si>
  <si>
    <t>IN-0141</t>
  </si>
  <si>
    <t>2026-06-24</t>
  </si>
  <si>
    <t>IN-0134</t>
  </si>
  <si>
    <t>IN-0113</t>
  </si>
  <si>
    <t>2026-06-25</t>
  </si>
  <si>
    <t>IN-0013</t>
  </si>
  <si>
    <t>2026-06-26</t>
  </si>
  <si>
    <t>IN-0088</t>
  </si>
  <si>
    <t>IN-0131</t>
  </si>
  <si>
    <t>2026-06-27</t>
  </si>
  <si>
    <t>IN-0170</t>
  </si>
  <si>
    <t>2026-06-28</t>
  </si>
  <si>
    <t>IN-0006</t>
  </si>
  <si>
    <t>2026-06-29</t>
  </si>
  <si>
    <t>IN-0146</t>
  </si>
  <si>
    <t>IN-0163</t>
  </si>
  <si>
    <t>2026-06-30</t>
  </si>
  <si>
    <t>IN-0041</t>
  </si>
  <si>
    <t>IN-0066</t>
  </si>
  <si>
    <t>2026-07-01</t>
  </si>
  <si>
    <t>IN-0177</t>
  </si>
  <si>
    <t>IN-0167</t>
  </si>
  <si>
    <t>2026-07-03</t>
  </si>
  <si>
    <t>IN-0082</t>
  </si>
  <si>
    <t>IN-0061</t>
  </si>
  <si>
    <t>IN-0067</t>
  </si>
  <si>
    <t>IN-0036</t>
  </si>
  <si>
    <t>IN-0098</t>
  </si>
  <si>
    <t>2026-07-05</t>
  </si>
  <si>
    <t>IN-0055</t>
  </si>
  <si>
    <t>IN-0051</t>
  </si>
  <si>
    <t>2026-07-07</t>
  </si>
  <si>
    <t>IN-0179</t>
  </si>
  <si>
    <t>2026-07-08</t>
  </si>
  <si>
    <t>IN-0110</t>
  </si>
  <si>
    <t>IN-0062</t>
  </si>
  <si>
    <t>QuantityIssued</t>
  </si>
  <si>
    <t>IssuedTo</t>
  </si>
  <si>
    <t>OUT-0143</t>
  </si>
  <si>
    <t>Warehouse A</t>
  </si>
  <si>
    <t>OUT-0014</t>
  </si>
  <si>
    <t>Retail Store 2</t>
  </si>
  <si>
    <t>OUT-0141</t>
  </si>
  <si>
    <t>Warehouse B</t>
  </si>
  <si>
    <t>OUT-0213</t>
  </si>
  <si>
    <t>Internal Use</t>
  </si>
  <si>
    <t>OUT-0179</t>
  </si>
  <si>
    <t>2026-03-04</t>
  </si>
  <si>
    <t>OUT-0053</t>
  </si>
  <si>
    <t>OUT-0076</t>
  </si>
  <si>
    <t>2026-03-05</t>
  </si>
  <si>
    <t>OUT-0041</t>
  </si>
  <si>
    <t>OUT-0182</t>
  </si>
  <si>
    <t>OUT-0171</t>
  </si>
  <si>
    <t>Retail Store 1</t>
  </si>
  <si>
    <t>OUT-0102</t>
  </si>
  <si>
    <t>OUT-0125</t>
  </si>
  <si>
    <t>OUT-0148</t>
  </si>
  <si>
    <t>OUT-0035</t>
  </si>
  <si>
    <t>OUT-0116</t>
  </si>
  <si>
    <t>OUT-0109</t>
  </si>
  <si>
    <t>OUT-0178</t>
  </si>
  <si>
    <t>OUT-0202</t>
  </si>
  <si>
    <t>OUT-0028</t>
  </si>
  <si>
    <t>OUT-0072</t>
  </si>
  <si>
    <t>OUT-0168</t>
  </si>
  <si>
    <t>OUT-0082</t>
  </si>
  <si>
    <t>2026-03-14</t>
  </si>
  <si>
    <t>OUT-0081</t>
  </si>
  <si>
    <t>OUT-0089</t>
  </si>
  <si>
    <t>OUT-0057</t>
  </si>
  <si>
    <t>Online Order</t>
  </si>
  <si>
    <t>OUT-0077</t>
  </si>
  <si>
    <t>OUT-0146</t>
  </si>
  <si>
    <t>OUT-0093</t>
  </si>
  <si>
    <t>OUT-0008</t>
  </si>
  <si>
    <t>OUT-0070</t>
  </si>
  <si>
    <t>OUT-0073</t>
  </si>
  <si>
    <t>2026-03-18</t>
  </si>
  <si>
    <t>OUT-0197</t>
  </si>
  <si>
    <t>OUT-0181</t>
  </si>
  <si>
    <t>2026-03-20</t>
  </si>
  <si>
    <t>OUT-0024</t>
  </si>
  <si>
    <t>2026-03-21</t>
  </si>
  <si>
    <t>OUT-0194</t>
  </si>
  <si>
    <t>OUT-0206</t>
  </si>
  <si>
    <t>OUT-0113</t>
  </si>
  <si>
    <t>OUT-0165</t>
  </si>
  <si>
    <t>OUT-0055</t>
  </si>
  <si>
    <t>OUT-0214</t>
  </si>
  <si>
    <t>OUT-0129</t>
  </si>
  <si>
    <t>OUT-0204</t>
  </si>
  <si>
    <t>OUT-0075</t>
  </si>
  <si>
    <t>OUT-0065</t>
  </si>
  <si>
    <t>2026-03-25</t>
  </si>
  <si>
    <t>OUT-0049</t>
  </si>
  <si>
    <t>2026-03-26</t>
  </si>
  <si>
    <t>OUT-0094</t>
  </si>
  <si>
    <t>OUT-0040</t>
  </si>
  <si>
    <t>OUT-0128</t>
  </si>
  <si>
    <t>OUT-0138</t>
  </si>
  <si>
    <t>OUT-0153</t>
  </si>
  <si>
    <t>OUT-0105</t>
  </si>
  <si>
    <t>2026-03-29</t>
  </si>
  <si>
    <t>OUT-0212</t>
  </si>
  <si>
    <t>OUT-0180</t>
  </si>
  <si>
    <t>OUT-0220</t>
  </si>
  <si>
    <t>OUT-0069</t>
  </si>
  <si>
    <t>OUT-0010</t>
  </si>
  <si>
    <t>OUT-0201</t>
  </si>
  <si>
    <t>OUT-0013</t>
  </si>
  <si>
    <t>OUT-0164</t>
  </si>
  <si>
    <t>OUT-0117</t>
  </si>
  <si>
    <t>OUT-0144</t>
  </si>
  <si>
    <t>OUT-0205</t>
  </si>
  <si>
    <t>OUT-0044</t>
  </si>
  <si>
    <t>OUT-0051</t>
  </si>
  <si>
    <t>OUT-0052</t>
  </si>
  <si>
    <t>OUT-0175</t>
  </si>
  <si>
    <t>OUT-0025</t>
  </si>
  <si>
    <t>OUT-0196</t>
  </si>
  <si>
    <t>OUT-0100</t>
  </si>
  <si>
    <t>OUT-0004</t>
  </si>
  <si>
    <t>OUT-0018</t>
  </si>
  <si>
    <t>OUT-0187</t>
  </si>
  <si>
    <t>2026-04-12</t>
  </si>
  <si>
    <t>OUT-0136</t>
  </si>
  <si>
    <t>OUT-0034</t>
  </si>
  <si>
    <t>OUT-0001</t>
  </si>
  <si>
    <t>OUT-0216</t>
  </si>
  <si>
    <t>OUT-0161</t>
  </si>
  <si>
    <t>OUT-0150</t>
  </si>
  <si>
    <t>OUT-0131</t>
  </si>
  <si>
    <t>OUT-0058</t>
  </si>
  <si>
    <t>OUT-0154</t>
  </si>
  <si>
    <t>2026-04-19</t>
  </si>
  <si>
    <t>OUT-0120</t>
  </si>
  <si>
    <t>OUT-0007</t>
  </si>
  <si>
    <t>OUT-0071</t>
  </si>
  <si>
    <t>OUT-0112</t>
  </si>
  <si>
    <t>OUT-0098</t>
  </si>
  <si>
    <t>OUT-0215</t>
  </si>
  <si>
    <t>OUT-0185</t>
  </si>
  <si>
    <t>OUT-0074</t>
  </si>
  <si>
    <t>OUT-0152</t>
  </si>
  <si>
    <t>2026-04-25</t>
  </si>
  <si>
    <t>OUT-0190</t>
  </si>
  <si>
    <t>OUT-0126</t>
  </si>
  <si>
    <t>2026-04-26</t>
  </si>
  <si>
    <t>OUT-0050</t>
  </si>
  <si>
    <t>OUT-0012</t>
  </si>
  <si>
    <t>OUT-0090</t>
  </si>
  <si>
    <t>2026-04-30</t>
  </si>
  <si>
    <t>OUT-0015</t>
  </si>
  <si>
    <t>OUT-0160</t>
  </si>
  <si>
    <t>OUT-0195</t>
  </si>
  <si>
    <t>OUT-0118</t>
  </si>
  <si>
    <t>2026-05-01</t>
  </si>
  <si>
    <t>OUT-0173</t>
  </si>
  <si>
    <t>OUT-0130</t>
  </si>
  <si>
    <t>OUT-0121</t>
  </si>
  <si>
    <t>OUT-0020</t>
  </si>
  <si>
    <t>OUT-0193</t>
  </si>
  <si>
    <t>OUT-0045</t>
  </si>
  <si>
    <t>OUT-0048</t>
  </si>
  <si>
    <t>OUT-0174</t>
  </si>
  <si>
    <t>OUT-0026</t>
  </si>
  <si>
    <t>OUT-0217</t>
  </si>
  <si>
    <t>OUT-0095</t>
  </si>
  <si>
    <t>OUT-0083</t>
  </si>
  <si>
    <t>OUT-0111</t>
  </si>
  <si>
    <t>OUT-0200</t>
  </si>
  <si>
    <t>OUT-0101</t>
  </si>
  <si>
    <t>OUT-0115</t>
  </si>
  <si>
    <t>OUT-0162</t>
  </si>
  <si>
    <t>OUT-0139</t>
  </si>
  <si>
    <t>OUT-0122</t>
  </si>
  <si>
    <t>OUT-0198</t>
  </si>
  <si>
    <t>OUT-0056</t>
  </si>
  <si>
    <t>OUT-0062</t>
  </si>
  <si>
    <t>OUT-0149</t>
  </si>
  <si>
    <t>OUT-0033</t>
  </si>
  <si>
    <t>OUT-0133</t>
  </si>
  <si>
    <t>OUT-0210</t>
  </si>
  <si>
    <t>OUT-0059</t>
  </si>
  <si>
    <t>OUT-0155</t>
  </si>
  <si>
    <t>OUT-0103</t>
  </si>
  <si>
    <t>OUT-0135</t>
  </si>
  <si>
    <t>2026-05-17</t>
  </si>
  <si>
    <t>OUT-0108</t>
  </si>
  <si>
    <t>OUT-0203</t>
  </si>
  <si>
    <t>OUT-0186</t>
  </si>
  <si>
    <t>OUT-0032</t>
  </si>
  <si>
    <t>OUT-0002</t>
  </si>
  <si>
    <t>2026-05-21</t>
  </si>
  <si>
    <t>OUT-0107</t>
  </si>
  <si>
    <t>OUT-0142</t>
  </si>
  <si>
    <t>2026-05-23</t>
  </si>
  <si>
    <t>OUT-0192</t>
  </si>
  <si>
    <t>OUT-0027</t>
  </si>
  <si>
    <t>OUT-0038</t>
  </si>
  <si>
    <t>2026-05-24</t>
  </si>
  <si>
    <t>OUT-0043</t>
  </si>
  <si>
    <t>OUT-0092</t>
  </si>
  <si>
    <t>OUT-0151</t>
  </si>
  <si>
    <t>OUT-0009</t>
  </si>
  <si>
    <t>OUT-0067</t>
  </si>
  <si>
    <t>OUT-0063</t>
  </si>
  <si>
    <t>OUT-0042</t>
  </si>
  <si>
    <t>OUT-0019</t>
  </si>
  <si>
    <t>2026-05-28</t>
  </si>
  <si>
    <t>OUT-0036</t>
  </si>
  <si>
    <t>OUT-0127</t>
  </si>
  <si>
    <t>OUT-0170</t>
  </si>
  <si>
    <t>OUT-0064</t>
  </si>
  <si>
    <t>OUT-0080</t>
  </si>
  <si>
    <t>OUT-0219</t>
  </si>
  <si>
    <t>OUT-0011</t>
  </si>
  <si>
    <t>OUT-0140</t>
  </si>
  <si>
    <t>2026-06-02</t>
  </si>
  <si>
    <t>OUT-0188</t>
  </si>
  <si>
    <t>OUT-0209</t>
  </si>
  <si>
    <t>2026-06-03</t>
  </si>
  <si>
    <t>OUT-0021</t>
  </si>
  <si>
    <t>OUT-0123</t>
  </si>
  <si>
    <t>OUT-0176</t>
  </si>
  <si>
    <t>2026-06-04</t>
  </si>
  <si>
    <t>OUT-0207</t>
  </si>
  <si>
    <t>OUT-0003</t>
  </si>
  <si>
    <t>OUT-0110</t>
  </si>
  <si>
    <t>OUT-0084</t>
  </si>
  <si>
    <t>OUT-0208</t>
  </si>
  <si>
    <t>OUT-0085</t>
  </si>
  <si>
    <t>OUT-0137</t>
  </si>
  <si>
    <t>OUT-0066</t>
  </si>
  <si>
    <t>OUT-0079</t>
  </si>
  <si>
    <t>OUT-0068</t>
  </si>
  <si>
    <t>OUT-0189</t>
  </si>
  <si>
    <t>OUT-0046</t>
  </si>
  <si>
    <t>OUT-0078</t>
  </si>
  <si>
    <t>OUT-0030</t>
  </si>
  <si>
    <t>OUT-0091</t>
  </si>
  <si>
    <t>OUT-0023</t>
  </si>
  <si>
    <t>OUT-0145</t>
  </si>
  <si>
    <t>2026-06-18</t>
  </si>
  <si>
    <t>OUT-0104</t>
  </si>
  <si>
    <t>2026-06-19</t>
  </si>
  <si>
    <t>OUT-0054</t>
  </si>
  <si>
    <t>OUT-0006</t>
  </si>
  <si>
    <t>OUT-0016</t>
  </si>
  <si>
    <t>OUT-0199</t>
  </si>
  <si>
    <t>OUT-0096</t>
  </si>
  <si>
    <t>OUT-0039</t>
  </si>
  <si>
    <t>OUT-0163</t>
  </si>
  <si>
    <t>OUT-0211</t>
  </si>
  <si>
    <t>OUT-0183</t>
  </si>
  <si>
    <t>OUT-0169</t>
  </si>
  <si>
    <t>OUT-0172</t>
  </si>
  <si>
    <t>OUT-0029</t>
  </si>
  <si>
    <t>OUT-0167</t>
  </si>
  <si>
    <t>OUT-0166</t>
  </si>
  <si>
    <t>OUT-0031</t>
  </si>
  <si>
    <t>OUT-0124</t>
  </si>
  <si>
    <t>OUT-0156</t>
  </si>
  <si>
    <t>OUT-0134</t>
  </si>
  <si>
    <t>OUT-0005</t>
  </si>
  <si>
    <t>OUT-0088</t>
  </si>
  <si>
    <t>OUT-0087</t>
  </si>
  <si>
    <t>OUT-0086</t>
  </si>
  <si>
    <t>OUT-0184</t>
  </si>
  <si>
    <t>OUT-0191</t>
  </si>
  <si>
    <t>OUT-0060</t>
  </si>
  <si>
    <t>OUT-0114</t>
  </si>
  <si>
    <t>OUT-0099</t>
  </si>
  <si>
    <t>2026-07-06</t>
  </si>
  <si>
    <t>OUT-0132</t>
  </si>
  <si>
    <t>OUT-0218</t>
  </si>
  <si>
    <t>OUT-0147</t>
  </si>
  <si>
    <t>2026-07-09</t>
  </si>
  <si>
    <t>OUT-0022</t>
  </si>
  <si>
    <t>OUT-0061</t>
  </si>
  <si>
    <t>2026-07-10</t>
  </si>
  <si>
    <t>OUT-0119</t>
  </si>
  <si>
    <t>OUT-0047</t>
  </si>
  <si>
    <t>OUT-0159</t>
  </si>
  <si>
    <t>OUT-0106</t>
  </si>
  <si>
    <t>2026-07-11</t>
  </si>
  <si>
    <t>OUT-0097</t>
  </si>
  <si>
    <t>2026-07-12</t>
  </si>
  <si>
    <t>OUT-0017</t>
  </si>
  <si>
    <t>OUT-0158</t>
  </si>
  <si>
    <t>OUT-0177</t>
  </si>
  <si>
    <t>2026-07-13</t>
  </si>
  <si>
    <t>OUT-0157</t>
  </si>
  <si>
    <t>OUT-0037</t>
  </si>
  <si>
    <t>Total received</t>
  </si>
  <si>
    <t>Total Issued</t>
  </si>
  <si>
    <t>Current Stock</t>
  </si>
  <si>
    <t>Stock status</t>
  </si>
  <si>
    <t>Stock value</t>
  </si>
  <si>
    <t>Row Labels</t>
  </si>
  <si>
    <t>Grand Total</t>
  </si>
  <si>
    <t>Sum of Stock value</t>
  </si>
  <si>
    <t>Total items</t>
  </si>
  <si>
    <t>Low stock items</t>
  </si>
  <si>
    <t>Inventory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</si>
</sst>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1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 table!PivotTable1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table'!$A$4:$A$10</c:f>
              <c:strCache>
                <c:ptCount val="6"/>
                <c:pt idx="0">
                  <c:v>Cleaning Supplies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Packaging</c:v>
                </c:pt>
                <c:pt idx="5">
                  <c:v>Stationery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1800201</c:v>
                </c:pt>
                <c:pt idx="1">
                  <c:v>1020986</c:v>
                </c:pt>
                <c:pt idx="2">
                  <c:v>1100229</c:v>
                </c:pt>
                <c:pt idx="3">
                  <c:v>2073593</c:v>
                </c:pt>
                <c:pt idx="4">
                  <c:v>2196499</c:v>
                </c:pt>
                <c:pt idx="5">
                  <c:v>380740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C-8C4E-B384-3D1595441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633664"/>
        <c:axId val="1816637696"/>
      </c:barChart>
      <c:catAx>
        <c:axId val="181663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16637696"/>
        <c:crosses val="autoZero"/>
        <c:auto val="1"/>
        <c:lblAlgn val="ctr"/>
        <c:lblOffset val="100"/>
        <c:noMultiLvlLbl val="0"/>
      </c:catAx>
      <c:valAx>
        <c:axId val="181663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1663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6</xdr:row>
      <xdr:rowOff>63500</xdr:rowOff>
    </xdr:from>
    <xdr:to>
      <xdr:col>7</xdr:col>
      <xdr:colOff>50800</xdr:colOff>
      <xdr:row>30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AEF506-B3BB-AC49-A52B-490683AE5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esha Jalal" refreshedDate="46222.611789814815" createdVersion="8" refreshedVersion="8" minRefreshableVersion="3" recordCount="34" xr:uid="{E437928C-7512-F347-8E8D-B12F1DD0ABE1}">
  <cacheSource type="worksheet">
    <worksheetSource ref="A1:K35" sheet="Inventory"/>
  </cacheSource>
  <cacheFields count="11">
    <cacheField name="ItemID" numFmtId="0">
      <sharedItems/>
    </cacheField>
    <cacheField name="ItemName" numFmtId="0">
      <sharedItems/>
    </cacheField>
    <cacheField name="Category" numFmtId="0">
      <sharedItems count="6">
        <s v="Electronics"/>
        <s v="Stationery"/>
        <s v="Groceries"/>
        <s v="Furniture"/>
        <s v="Cleaning Supplies"/>
        <s v="Packaging"/>
      </sharedItems>
    </cacheField>
    <cacheField name="UnitPrice" numFmtId="0">
      <sharedItems containsSemiMixedTypes="0" containsString="0" containsNumber="1" containsInteger="1" minValue="376" maxValue="4892"/>
    </cacheField>
    <cacheField name="ReorderLevel" numFmtId="0">
      <sharedItems containsSemiMixedTypes="0" containsString="0" containsNumber="1" containsInteger="1" minValue="10" maxValue="30"/>
    </cacheField>
    <cacheField name="Supplier" numFmtId="0">
      <sharedItems/>
    </cacheField>
    <cacheField name="Total received" numFmtId="0">
      <sharedItems containsSemiMixedTypes="0" containsString="0" containsNumber="1" containsInteger="1" minValue="24" maxValue="698"/>
    </cacheField>
    <cacheField name="Total Issued" numFmtId="0">
      <sharedItems containsSemiMixedTypes="0" containsString="0" containsNumber="1" containsInteger="1" minValue="64" maxValue="429"/>
    </cacheField>
    <cacheField name="Current Stock" numFmtId="0">
      <sharedItems containsSemiMixedTypes="0" containsString="0" containsNumber="1" containsInteger="1" minValue="-238" maxValue="553"/>
    </cacheField>
    <cacheField name="Stock status" numFmtId="0">
      <sharedItems/>
    </cacheField>
    <cacheField name="Stock value" numFmtId="0">
      <sharedItems containsSemiMixedTypes="0" containsString="0" containsNumber="1" containsInteger="1" minValue="-1164296" maxValue="1889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ITM-001"/>
    <s v="LED Bulb 9W"/>
    <x v="0"/>
    <n v="428"/>
    <n v="15"/>
    <s v="Prime Distributors"/>
    <n v="173"/>
    <n v="239"/>
    <n v="-66"/>
    <s v="Reorder Now"/>
    <n v="-28248"/>
  </r>
  <r>
    <s v="ITM-002"/>
    <s v="USB Cable"/>
    <x v="0"/>
    <n v="4892"/>
    <n v="30"/>
    <s v="Zaman Enterprises"/>
    <n v="24"/>
    <n v="262"/>
    <n v="-238"/>
    <s v="Reorder Now"/>
    <n v="-1164296"/>
  </r>
  <r>
    <s v="ITM-003"/>
    <s v="Wireless Mouse"/>
    <x v="0"/>
    <n v="2716"/>
    <n v="10"/>
    <s v="Zaman Enterprises"/>
    <n v="389"/>
    <n v="206"/>
    <n v="183"/>
    <s v="OK"/>
    <n v="497028"/>
  </r>
  <r>
    <s v="ITM-004"/>
    <s v="Extension Board"/>
    <x v="0"/>
    <n v="407"/>
    <n v="20"/>
    <s v="Al-Falah Traders"/>
    <n v="278"/>
    <n v="84"/>
    <n v="194"/>
    <s v="OK"/>
    <n v="78958"/>
  </r>
  <r>
    <s v="ITM-005"/>
    <s v="Calculator"/>
    <x v="0"/>
    <n v="2524"/>
    <n v="30"/>
    <s v="Al-Falah Traders"/>
    <n v="698"/>
    <n v="311"/>
    <n v="387"/>
    <s v="OK"/>
    <n v="976788"/>
  </r>
  <r>
    <s v="ITM-006"/>
    <s v="Power Bank"/>
    <x v="0"/>
    <n v="4029"/>
    <n v="30"/>
    <s v="Al-Falah Traders"/>
    <n v="260"/>
    <n v="96"/>
    <n v="164"/>
    <s v="OK"/>
    <n v="660756"/>
  </r>
  <r>
    <s v="ITM-007"/>
    <s v="A4 Paper Ream"/>
    <x v="1"/>
    <n v="376"/>
    <n v="20"/>
    <s v="Prime Distributors"/>
    <n v="216"/>
    <n v="424"/>
    <n v="-208"/>
    <s v="Reorder Now"/>
    <n v="-78208"/>
  </r>
  <r>
    <s v="ITM-008"/>
    <s v="Ball Pen Box"/>
    <x v="1"/>
    <n v="3485"/>
    <n v="10"/>
    <s v="Al-Falah Traders"/>
    <n v="83"/>
    <n v="81"/>
    <n v="2"/>
    <s v="Reorder Now"/>
    <n v="6970"/>
  </r>
  <r>
    <s v="ITM-009"/>
    <s v="Stapler"/>
    <x v="1"/>
    <n v="1350"/>
    <n v="10"/>
    <s v="Prime Distributors"/>
    <n v="208"/>
    <n v="345"/>
    <n v="-137"/>
    <s v="Reorder Now"/>
    <n v="-184950"/>
  </r>
  <r>
    <s v="ITM-010"/>
    <s v="Notebook"/>
    <x v="1"/>
    <n v="1312"/>
    <n v="20"/>
    <s v="Al-Falah Traders"/>
    <n v="383"/>
    <n v="141"/>
    <n v="242"/>
    <s v="OK"/>
    <n v="317504"/>
  </r>
  <r>
    <s v="ITM-011"/>
    <s v="Whiteboard Marker"/>
    <x v="1"/>
    <n v="912"/>
    <n v="30"/>
    <s v="Zaman Enterprises"/>
    <n v="241"/>
    <n v="247"/>
    <n v="-6"/>
    <s v="Reorder Now"/>
    <n v="-5472"/>
  </r>
  <r>
    <s v="ITM-012"/>
    <s v="File Folder"/>
    <x v="1"/>
    <n v="2272"/>
    <n v="25"/>
    <s v="Al-Falah Traders"/>
    <n v="207"/>
    <n v="64"/>
    <n v="143"/>
    <s v="OK"/>
    <n v="324896"/>
  </r>
  <r>
    <s v="ITM-013"/>
    <s v="Rice Bag 10kg"/>
    <x v="2"/>
    <n v="1820"/>
    <n v="15"/>
    <s v="Al-Falah Traders"/>
    <n v="287"/>
    <n v="132"/>
    <n v="155"/>
    <s v="OK"/>
    <n v="282100"/>
  </r>
  <r>
    <s v="ITM-014"/>
    <s v="Cooking Oil 5L"/>
    <x v="2"/>
    <n v="547"/>
    <n v="30"/>
    <s v="Khan Suppliers"/>
    <n v="296"/>
    <n v="170"/>
    <n v="126"/>
    <s v="OK"/>
    <n v="68922"/>
  </r>
  <r>
    <s v="ITM-015"/>
    <s v="Sugar Bag 5kg"/>
    <x v="2"/>
    <n v="4759"/>
    <n v="20"/>
    <s v="Zaman Enterprises"/>
    <n v="325"/>
    <n v="95"/>
    <n v="230"/>
    <s v="OK"/>
    <n v="1094570"/>
  </r>
  <r>
    <s v="ITM-016"/>
    <s v="Tea Pack"/>
    <x v="2"/>
    <n v="4198"/>
    <n v="30"/>
    <s v="Al-Falah Traders"/>
    <n v="206"/>
    <n v="198"/>
    <n v="8"/>
    <s v="Reorder Now"/>
    <n v="33584"/>
  </r>
  <r>
    <s v="ITM-017"/>
    <s v="Flour Bag 10kg"/>
    <x v="2"/>
    <n v="1416"/>
    <n v="25"/>
    <s v="Zaman Enterprises"/>
    <n v="438"/>
    <n v="187"/>
    <n v="251"/>
    <s v="OK"/>
    <n v="355416"/>
  </r>
  <r>
    <s v="ITM-018"/>
    <s v="Salt Pack"/>
    <x v="2"/>
    <n v="1797"/>
    <n v="25"/>
    <s v="Zaman Enterprises"/>
    <n v="349"/>
    <n v="216"/>
    <n v="133"/>
    <s v="OK"/>
    <n v="239001"/>
  </r>
  <r>
    <s v="ITM-019"/>
    <s v="Office Chair"/>
    <x v="3"/>
    <n v="1883"/>
    <n v="30"/>
    <s v="Prime Distributors"/>
    <n v="336"/>
    <n v="246"/>
    <n v="90"/>
    <s v="OK"/>
    <n v="169470"/>
  </r>
  <r>
    <s v="ITM-020"/>
    <s v="Study Table"/>
    <x v="3"/>
    <n v="3611"/>
    <n v="15"/>
    <s v="Zaman Enterprises"/>
    <n v="54"/>
    <n v="128"/>
    <n v="-74"/>
    <s v="Reorder Now"/>
    <n v="-267214"/>
  </r>
  <r>
    <s v="ITM-021"/>
    <s v="Bookshelf"/>
    <x v="3"/>
    <n v="943"/>
    <n v="20"/>
    <s v="Prime Distributors"/>
    <n v="354"/>
    <n v="196"/>
    <n v="158"/>
    <s v="OK"/>
    <n v="148994"/>
  </r>
  <r>
    <s v="ITM-022"/>
    <s v="Filing Cabinet"/>
    <x v="3"/>
    <n v="2161"/>
    <n v="25"/>
    <s v="Prime Distributors"/>
    <n v="272"/>
    <n v="325"/>
    <n v="-53"/>
    <s v="Reorder Now"/>
    <n v="-114533"/>
  </r>
  <r>
    <s v="ITM-023"/>
    <s v="Whiteboard Stand"/>
    <x v="3"/>
    <n v="2104"/>
    <n v="10"/>
    <s v="Khan Suppliers"/>
    <n v="663"/>
    <n v="110"/>
    <n v="553"/>
    <s v="OK"/>
    <n v="1163512"/>
  </r>
  <r>
    <s v="ITM-024"/>
    <s v="Floor Cleaner 1L"/>
    <x v="4"/>
    <n v="507"/>
    <n v="15"/>
    <s v="Zaman Enterprises"/>
    <n v="249"/>
    <n v="100"/>
    <n v="149"/>
    <s v="OK"/>
    <n v="75543"/>
  </r>
  <r>
    <s v="ITM-025"/>
    <s v="Dish Soap"/>
    <x v="4"/>
    <n v="2646"/>
    <n v="30"/>
    <s v="Khan Suppliers"/>
    <n v="294"/>
    <n v="429"/>
    <n v="-135"/>
    <s v="Reorder Now"/>
    <n v="-357210"/>
  </r>
  <r>
    <s v="ITM-026"/>
    <s v="Tissue Box"/>
    <x v="4"/>
    <n v="3430"/>
    <n v="25"/>
    <s v="Prime Distributors"/>
    <n v="195"/>
    <n v="257"/>
    <n v="-62"/>
    <s v="Reorder Now"/>
    <n v="-212660"/>
  </r>
  <r>
    <s v="ITM-027"/>
    <s v="Hand Sanitizer"/>
    <x v="4"/>
    <n v="3263"/>
    <n v="25"/>
    <s v="Al-Falah Traders"/>
    <n v="164"/>
    <n v="254"/>
    <n v="-90"/>
    <s v="Reorder Now"/>
    <n v="-293670"/>
  </r>
  <r>
    <s v="ITM-028"/>
    <s v="Broom"/>
    <x v="4"/>
    <n v="4349"/>
    <n v="25"/>
    <s v="City Wholesale"/>
    <n v="464"/>
    <n v="112"/>
    <n v="352"/>
    <s v="OK"/>
    <n v="1530848"/>
  </r>
  <r>
    <s v="ITM-029"/>
    <s v="Trash Bags Pack"/>
    <x v="4"/>
    <n v="3325"/>
    <n v="30"/>
    <s v="Khan Suppliers"/>
    <n v="450"/>
    <n v="132"/>
    <n v="318"/>
    <s v="OK"/>
    <n v="1057350"/>
  </r>
  <r>
    <s v="ITM-030"/>
    <s v="Cardboard Box M"/>
    <x v="5"/>
    <n v="1578"/>
    <n v="10"/>
    <s v="Khan Suppliers"/>
    <n v="127"/>
    <n v="256"/>
    <n v="-129"/>
    <s v="Reorder Now"/>
    <n v="-203562"/>
  </r>
  <r>
    <s v="ITM-031"/>
    <s v="Bubble Wrap Roll"/>
    <x v="5"/>
    <n v="3428"/>
    <n v="15"/>
    <s v="City Wholesale"/>
    <n v="352"/>
    <n v="330"/>
    <n v="22"/>
    <s v="OK"/>
    <n v="75416"/>
  </r>
  <r>
    <s v="ITM-032"/>
    <s v="Packing Tape"/>
    <x v="5"/>
    <n v="2016"/>
    <n v="30"/>
    <s v="Khan Suppliers"/>
    <n v="155"/>
    <n v="207"/>
    <n v="-52"/>
    <s v="Reorder Now"/>
    <n v="-104832"/>
  </r>
  <r>
    <s v="ITM-033"/>
    <s v="Courier Bags"/>
    <x v="5"/>
    <n v="4759"/>
    <n v="20"/>
    <s v="Al-Falah Traders"/>
    <n v="520"/>
    <n v="123"/>
    <n v="397"/>
    <s v="OK"/>
    <n v="1889323"/>
  </r>
  <r>
    <s v="ITM-034"/>
    <s v="Labels Sheet"/>
    <x v="5"/>
    <n v="3886"/>
    <n v="20"/>
    <s v="Khan Suppliers"/>
    <n v="315"/>
    <n v="176"/>
    <n v="139"/>
    <s v="OK"/>
    <n v="5401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F83AE-F3E7-E04C-9124-7C66E87ADDE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1">
    <pivotField showAll="0"/>
    <pivotField showAll="0"/>
    <pivotField axis="axisRow" showAll="0">
      <items count="7">
        <item x="4"/>
        <item x="0"/>
        <item x="3"/>
        <item x="2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tock value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workbookViewId="0">
      <pane ySplit="1" topLeftCell="A2" activePane="bottomLeft" state="frozen"/>
      <selection pane="bottomLeft" sqref="A1:A1048576"/>
    </sheetView>
  </sheetViews>
  <sheetFormatPr baseColWidth="10" defaultColWidth="8.83203125" defaultRowHeight="15" x14ac:dyDescent="0.2"/>
  <cols>
    <col min="3" max="3" width="12.1640625" customWidth="1"/>
    <col min="5" max="5" width="11.6640625" customWidth="1"/>
    <col min="6" max="6" width="17" customWidth="1"/>
    <col min="7" max="7" width="12" customWidth="1"/>
    <col min="8" max="8" width="11.33203125" customWidth="1"/>
    <col min="9" max="9" width="11.1640625" customWidth="1"/>
    <col min="10" max="10" width="12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628</v>
      </c>
      <c r="H1" t="s">
        <v>629</v>
      </c>
      <c r="I1" t="s">
        <v>630</v>
      </c>
      <c r="J1" t="s">
        <v>631</v>
      </c>
      <c r="K1" t="s">
        <v>632</v>
      </c>
    </row>
    <row r="2" spans="1:11" x14ac:dyDescent="0.2">
      <c r="A2" t="s">
        <v>6</v>
      </c>
      <c r="B2" t="s">
        <v>7</v>
      </c>
      <c r="C2" t="s">
        <v>8</v>
      </c>
      <c r="D2">
        <v>428</v>
      </c>
      <c r="E2">
        <v>15</v>
      </c>
      <c r="F2" t="s">
        <v>9</v>
      </c>
      <c r="G2">
        <f>SUMIF(StockIn!B:B, A2, StockIn!D:D)</f>
        <v>173</v>
      </c>
      <c r="H2" s="1">
        <f>SUMIF(StockOut!B:B, A2, StockOut!D:D)</f>
        <v>239</v>
      </c>
      <c r="I2" s="1">
        <f>G2-H2</f>
        <v>-66</v>
      </c>
      <c r="J2" s="1" t="str">
        <f>IF(I2&lt;=E2,"Reorder Now","OK")</f>
        <v>Reorder Now</v>
      </c>
      <c r="K2" s="1">
        <f>I2*D2</f>
        <v>-28248</v>
      </c>
    </row>
    <row r="3" spans="1:11" x14ac:dyDescent="0.2">
      <c r="A3" t="s">
        <v>10</v>
      </c>
      <c r="B3" t="s">
        <v>11</v>
      </c>
      <c r="C3" t="s">
        <v>8</v>
      </c>
      <c r="D3">
        <v>4892</v>
      </c>
      <c r="E3">
        <v>30</v>
      </c>
      <c r="F3" t="s">
        <v>12</v>
      </c>
      <c r="G3">
        <f>SUMIF(StockIn!B:B, A3, StockIn!D:D)</f>
        <v>24</v>
      </c>
      <c r="H3" s="1">
        <f>SUMIF(StockOut!B:B, A3, StockOut!D:D)</f>
        <v>262</v>
      </c>
      <c r="I3" s="1">
        <f t="shared" ref="I3:I35" si="0">G3-H3</f>
        <v>-238</v>
      </c>
      <c r="J3" s="1" t="str">
        <f t="shared" ref="J3:J35" si="1">IF(I3&lt;=E3,"Reorder Now","OK")</f>
        <v>Reorder Now</v>
      </c>
      <c r="K3" s="1">
        <f t="shared" ref="K3:K35" si="2">I3*D3</f>
        <v>-1164296</v>
      </c>
    </row>
    <row r="4" spans="1:11" x14ac:dyDescent="0.2">
      <c r="A4" t="s">
        <v>13</v>
      </c>
      <c r="B4" t="s">
        <v>14</v>
      </c>
      <c r="C4" t="s">
        <v>8</v>
      </c>
      <c r="D4">
        <v>2716</v>
      </c>
      <c r="E4">
        <v>10</v>
      </c>
      <c r="F4" t="s">
        <v>12</v>
      </c>
      <c r="G4">
        <f>SUMIF(StockIn!B:B, A4, StockIn!D:D)</f>
        <v>389</v>
      </c>
      <c r="H4" s="1">
        <f>SUMIF(StockOut!B:B, A4, StockOut!D:D)</f>
        <v>206</v>
      </c>
      <c r="I4" s="1">
        <f t="shared" si="0"/>
        <v>183</v>
      </c>
      <c r="J4" s="1" t="str">
        <f t="shared" si="1"/>
        <v>OK</v>
      </c>
      <c r="K4" s="1">
        <f t="shared" si="2"/>
        <v>497028</v>
      </c>
    </row>
    <row r="5" spans="1:11" x14ac:dyDescent="0.2">
      <c r="A5" t="s">
        <v>15</v>
      </c>
      <c r="B5" t="s">
        <v>16</v>
      </c>
      <c r="C5" t="s">
        <v>8</v>
      </c>
      <c r="D5">
        <v>407</v>
      </c>
      <c r="E5">
        <v>20</v>
      </c>
      <c r="F5" t="s">
        <v>17</v>
      </c>
      <c r="G5">
        <f>SUMIF(StockIn!B:B, A5, StockIn!D:D)</f>
        <v>278</v>
      </c>
      <c r="H5" s="1">
        <f>SUMIF(StockOut!B:B, A5, StockOut!D:D)</f>
        <v>84</v>
      </c>
      <c r="I5" s="1">
        <f t="shared" si="0"/>
        <v>194</v>
      </c>
      <c r="J5" s="1" t="str">
        <f t="shared" si="1"/>
        <v>OK</v>
      </c>
      <c r="K5" s="1">
        <f t="shared" si="2"/>
        <v>78958</v>
      </c>
    </row>
    <row r="6" spans="1:11" x14ac:dyDescent="0.2">
      <c r="A6" t="s">
        <v>18</v>
      </c>
      <c r="B6" t="s">
        <v>19</v>
      </c>
      <c r="C6" t="s">
        <v>8</v>
      </c>
      <c r="D6">
        <v>2524</v>
      </c>
      <c r="E6">
        <v>30</v>
      </c>
      <c r="F6" t="s">
        <v>17</v>
      </c>
      <c r="G6">
        <f>SUMIF(StockIn!B:B, A6, StockIn!D:D)</f>
        <v>698</v>
      </c>
      <c r="H6" s="1">
        <f>SUMIF(StockOut!B:B, A6, StockOut!D:D)</f>
        <v>311</v>
      </c>
      <c r="I6" s="1">
        <f t="shared" si="0"/>
        <v>387</v>
      </c>
      <c r="J6" s="1" t="str">
        <f t="shared" si="1"/>
        <v>OK</v>
      </c>
      <c r="K6" s="1">
        <f t="shared" si="2"/>
        <v>976788</v>
      </c>
    </row>
    <row r="7" spans="1:11" x14ac:dyDescent="0.2">
      <c r="A7" t="s">
        <v>20</v>
      </c>
      <c r="B7" t="s">
        <v>21</v>
      </c>
      <c r="C7" t="s">
        <v>8</v>
      </c>
      <c r="D7">
        <v>4029</v>
      </c>
      <c r="E7">
        <v>30</v>
      </c>
      <c r="F7" t="s">
        <v>17</v>
      </c>
      <c r="G7">
        <f>SUMIF(StockIn!B:B, A7, StockIn!D:D)</f>
        <v>260</v>
      </c>
      <c r="H7" s="1">
        <f>SUMIF(StockOut!B:B, A7, StockOut!D:D)</f>
        <v>96</v>
      </c>
      <c r="I7" s="1">
        <f t="shared" si="0"/>
        <v>164</v>
      </c>
      <c r="J7" s="1" t="str">
        <f t="shared" si="1"/>
        <v>OK</v>
      </c>
      <c r="K7" s="1">
        <f t="shared" si="2"/>
        <v>660756</v>
      </c>
    </row>
    <row r="8" spans="1:11" x14ac:dyDescent="0.2">
      <c r="A8" t="s">
        <v>22</v>
      </c>
      <c r="B8" t="s">
        <v>23</v>
      </c>
      <c r="C8" t="s">
        <v>24</v>
      </c>
      <c r="D8">
        <v>376</v>
      </c>
      <c r="E8">
        <v>20</v>
      </c>
      <c r="F8" t="s">
        <v>9</v>
      </c>
      <c r="G8">
        <f>SUMIF(StockIn!B:B, A8, StockIn!D:D)</f>
        <v>216</v>
      </c>
      <c r="H8" s="1">
        <f>SUMIF(StockOut!B:B, A8, StockOut!D:D)</f>
        <v>424</v>
      </c>
      <c r="I8" s="1">
        <f t="shared" si="0"/>
        <v>-208</v>
      </c>
      <c r="J8" s="1" t="str">
        <f t="shared" si="1"/>
        <v>Reorder Now</v>
      </c>
      <c r="K8" s="1">
        <f t="shared" si="2"/>
        <v>-78208</v>
      </c>
    </row>
    <row r="9" spans="1:11" x14ac:dyDescent="0.2">
      <c r="A9" t="s">
        <v>25</v>
      </c>
      <c r="B9" t="s">
        <v>26</v>
      </c>
      <c r="C9" t="s">
        <v>24</v>
      </c>
      <c r="D9">
        <v>3485</v>
      </c>
      <c r="E9">
        <v>10</v>
      </c>
      <c r="F9" t="s">
        <v>17</v>
      </c>
      <c r="G9">
        <f>SUMIF(StockIn!B:B, A9, StockIn!D:D)</f>
        <v>83</v>
      </c>
      <c r="H9" s="1">
        <f>SUMIF(StockOut!B:B, A9, StockOut!D:D)</f>
        <v>81</v>
      </c>
      <c r="I9" s="1">
        <f t="shared" si="0"/>
        <v>2</v>
      </c>
      <c r="J9" s="1" t="str">
        <f t="shared" si="1"/>
        <v>Reorder Now</v>
      </c>
      <c r="K9" s="1">
        <f t="shared" si="2"/>
        <v>6970</v>
      </c>
    </row>
    <row r="10" spans="1:11" x14ac:dyDescent="0.2">
      <c r="A10" t="s">
        <v>27</v>
      </c>
      <c r="B10" t="s">
        <v>28</v>
      </c>
      <c r="C10" t="s">
        <v>24</v>
      </c>
      <c r="D10">
        <v>1350</v>
      </c>
      <c r="E10">
        <v>10</v>
      </c>
      <c r="F10" t="s">
        <v>9</v>
      </c>
      <c r="G10">
        <f>SUMIF(StockIn!B:B, A10, StockIn!D:D)</f>
        <v>208</v>
      </c>
      <c r="H10" s="1">
        <f>SUMIF(StockOut!B:B, A10, StockOut!D:D)</f>
        <v>345</v>
      </c>
      <c r="I10" s="1">
        <f t="shared" si="0"/>
        <v>-137</v>
      </c>
      <c r="J10" s="1" t="str">
        <f t="shared" si="1"/>
        <v>Reorder Now</v>
      </c>
      <c r="K10" s="1">
        <f t="shared" si="2"/>
        <v>-184950</v>
      </c>
    </row>
    <row r="11" spans="1:11" x14ac:dyDescent="0.2">
      <c r="A11" t="s">
        <v>29</v>
      </c>
      <c r="B11" t="s">
        <v>30</v>
      </c>
      <c r="C11" t="s">
        <v>24</v>
      </c>
      <c r="D11">
        <v>1312</v>
      </c>
      <c r="E11">
        <v>20</v>
      </c>
      <c r="F11" t="s">
        <v>17</v>
      </c>
      <c r="G11">
        <f>SUMIF(StockIn!B:B, A11, StockIn!D:D)</f>
        <v>383</v>
      </c>
      <c r="H11" s="1">
        <f>SUMIF(StockOut!B:B, A11, StockOut!D:D)</f>
        <v>141</v>
      </c>
      <c r="I11" s="1">
        <f t="shared" si="0"/>
        <v>242</v>
      </c>
      <c r="J11" s="1" t="str">
        <f t="shared" si="1"/>
        <v>OK</v>
      </c>
      <c r="K11" s="1">
        <f t="shared" si="2"/>
        <v>317504</v>
      </c>
    </row>
    <row r="12" spans="1:11" x14ac:dyDescent="0.2">
      <c r="A12" t="s">
        <v>31</v>
      </c>
      <c r="B12" t="s">
        <v>32</v>
      </c>
      <c r="C12" t="s">
        <v>24</v>
      </c>
      <c r="D12">
        <v>912</v>
      </c>
      <c r="E12">
        <v>30</v>
      </c>
      <c r="F12" t="s">
        <v>12</v>
      </c>
      <c r="G12">
        <f>SUMIF(StockIn!B:B, A12, StockIn!D:D)</f>
        <v>241</v>
      </c>
      <c r="H12" s="1">
        <f>SUMIF(StockOut!B:B, A12, StockOut!D:D)</f>
        <v>247</v>
      </c>
      <c r="I12" s="1">
        <f t="shared" si="0"/>
        <v>-6</v>
      </c>
      <c r="J12" s="1" t="str">
        <f t="shared" si="1"/>
        <v>Reorder Now</v>
      </c>
      <c r="K12" s="1">
        <f t="shared" si="2"/>
        <v>-5472</v>
      </c>
    </row>
    <row r="13" spans="1:11" x14ac:dyDescent="0.2">
      <c r="A13" t="s">
        <v>33</v>
      </c>
      <c r="B13" t="s">
        <v>34</v>
      </c>
      <c r="C13" t="s">
        <v>24</v>
      </c>
      <c r="D13">
        <v>2272</v>
      </c>
      <c r="E13">
        <v>25</v>
      </c>
      <c r="F13" t="s">
        <v>17</v>
      </c>
      <c r="G13">
        <f>SUMIF(StockIn!B:B, A13, StockIn!D:D)</f>
        <v>207</v>
      </c>
      <c r="H13" s="1">
        <f>SUMIF(StockOut!B:B, A13, StockOut!D:D)</f>
        <v>64</v>
      </c>
      <c r="I13" s="1">
        <f t="shared" si="0"/>
        <v>143</v>
      </c>
      <c r="J13" s="1" t="str">
        <f t="shared" si="1"/>
        <v>OK</v>
      </c>
      <c r="K13" s="1">
        <f t="shared" si="2"/>
        <v>324896</v>
      </c>
    </row>
    <row r="14" spans="1:11" x14ac:dyDescent="0.2">
      <c r="A14" t="s">
        <v>35</v>
      </c>
      <c r="B14" t="s">
        <v>36</v>
      </c>
      <c r="C14" t="s">
        <v>37</v>
      </c>
      <c r="D14">
        <v>1820</v>
      </c>
      <c r="E14">
        <v>15</v>
      </c>
      <c r="F14" t="s">
        <v>17</v>
      </c>
      <c r="G14">
        <f>SUMIF(StockIn!B:B, A14, StockIn!D:D)</f>
        <v>287</v>
      </c>
      <c r="H14" s="1">
        <f>SUMIF(StockOut!B:B, A14, StockOut!D:D)</f>
        <v>132</v>
      </c>
      <c r="I14" s="1">
        <f t="shared" si="0"/>
        <v>155</v>
      </c>
      <c r="J14" s="1" t="str">
        <f t="shared" si="1"/>
        <v>OK</v>
      </c>
      <c r="K14" s="1">
        <f t="shared" si="2"/>
        <v>282100</v>
      </c>
    </row>
    <row r="15" spans="1:11" x14ac:dyDescent="0.2">
      <c r="A15" t="s">
        <v>38</v>
      </c>
      <c r="B15" t="s">
        <v>39</v>
      </c>
      <c r="C15" t="s">
        <v>37</v>
      </c>
      <c r="D15">
        <v>547</v>
      </c>
      <c r="E15">
        <v>30</v>
      </c>
      <c r="F15" t="s">
        <v>40</v>
      </c>
      <c r="G15">
        <f>SUMIF(StockIn!B:B, A15, StockIn!D:D)</f>
        <v>296</v>
      </c>
      <c r="H15" s="1">
        <f>SUMIF(StockOut!B:B, A15, StockOut!D:D)</f>
        <v>170</v>
      </c>
      <c r="I15" s="1">
        <f t="shared" si="0"/>
        <v>126</v>
      </c>
      <c r="J15" s="1" t="str">
        <f t="shared" si="1"/>
        <v>OK</v>
      </c>
      <c r="K15" s="1">
        <f t="shared" si="2"/>
        <v>68922</v>
      </c>
    </row>
    <row r="16" spans="1:11" x14ac:dyDescent="0.2">
      <c r="A16" t="s">
        <v>41</v>
      </c>
      <c r="B16" t="s">
        <v>42</v>
      </c>
      <c r="C16" t="s">
        <v>37</v>
      </c>
      <c r="D16">
        <v>4759</v>
      </c>
      <c r="E16">
        <v>20</v>
      </c>
      <c r="F16" t="s">
        <v>12</v>
      </c>
      <c r="G16">
        <f>SUMIF(StockIn!B:B, A16, StockIn!D:D)</f>
        <v>325</v>
      </c>
      <c r="H16" s="1">
        <f>SUMIF(StockOut!B:B, A16, StockOut!D:D)</f>
        <v>95</v>
      </c>
      <c r="I16" s="1">
        <f t="shared" si="0"/>
        <v>230</v>
      </c>
      <c r="J16" s="1" t="str">
        <f t="shared" si="1"/>
        <v>OK</v>
      </c>
      <c r="K16" s="1">
        <f t="shared" si="2"/>
        <v>1094570</v>
      </c>
    </row>
    <row r="17" spans="1:11" x14ac:dyDescent="0.2">
      <c r="A17" t="s">
        <v>43</v>
      </c>
      <c r="B17" t="s">
        <v>44</v>
      </c>
      <c r="C17" t="s">
        <v>37</v>
      </c>
      <c r="D17">
        <v>4198</v>
      </c>
      <c r="E17">
        <v>30</v>
      </c>
      <c r="F17" t="s">
        <v>17</v>
      </c>
      <c r="G17">
        <f>SUMIF(StockIn!B:B, A17, StockIn!D:D)</f>
        <v>206</v>
      </c>
      <c r="H17" s="1">
        <f>SUMIF(StockOut!B:B, A17, StockOut!D:D)</f>
        <v>198</v>
      </c>
      <c r="I17" s="1">
        <f t="shared" si="0"/>
        <v>8</v>
      </c>
      <c r="J17" s="1" t="str">
        <f t="shared" si="1"/>
        <v>Reorder Now</v>
      </c>
      <c r="K17" s="1">
        <f t="shared" si="2"/>
        <v>33584</v>
      </c>
    </row>
    <row r="18" spans="1:11" x14ac:dyDescent="0.2">
      <c r="A18" t="s">
        <v>45</v>
      </c>
      <c r="B18" t="s">
        <v>46</v>
      </c>
      <c r="C18" t="s">
        <v>37</v>
      </c>
      <c r="D18">
        <v>1416</v>
      </c>
      <c r="E18">
        <v>25</v>
      </c>
      <c r="F18" t="s">
        <v>12</v>
      </c>
      <c r="G18">
        <f>SUMIF(StockIn!B:B, A18, StockIn!D:D)</f>
        <v>438</v>
      </c>
      <c r="H18" s="1">
        <f>SUMIF(StockOut!B:B, A18, StockOut!D:D)</f>
        <v>187</v>
      </c>
      <c r="I18" s="1">
        <f t="shared" si="0"/>
        <v>251</v>
      </c>
      <c r="J18" s="1" t="str">
        <f t="shared" si="1"/>
        <v>OK</v>
      </c>
      <c r="K18" s="1">
        <f t="shared" si="2"/>
        <v>355416</v>
      </c>
    </row>
    <row r="19" spans="1:11" x14ac:dyDescent="0.2">
      <c r="A19" t="s">
        <v>47</v>
      </c>
      <c r="B19" t="s">
        <v>48</v>
      </c>
      <c r="C19" t="s">
        <v>37</v>
      </c>
      <c r="D19">
        <v>1797</v>
      </c>
      <c r="E19">
        <v>25</v>
      </c>
      <c r="F19" t="s">
        <v>12</v>
      </c>
      <c r="G19">
        <f>SUMIF(StockIn!B:B, A19, StockIn!D:D)</f>
        <v>349</v>
      </c>
      <c r="H19" s="1">
        <f>SUMIF(StockOut!B:B, A19, StockOut!D:D)</f>
        <v>216</v>
      </c>
      <c r="I19" s="1">
        <f t="shared" si="0"/>
        <v>133</v>
      </c>
      <c r="J19" s="1" t="str">
        <f t="shared" si="1"/>
        <v>OK</v>
      </c>
      <c r="K19" s="1">
        <f t="shared" si="2"/>
        <v>239001</v>
      </c>
    </row>
    <row r="20" spans="1:11" x14ac:dyDescent="0.2">
      <c r="A20" t="s">
        <v>49</v>
      </c>
      <c r="B20" t="s">
        <v>50</v>
      </c>
      <c r="C20" t="s">
        <v>51</v>
      </c>
      <c r="D20">
        <v>1883</v>
      </c>
      <c r="E20">
        <v>30</v>
      </c>
      <c r="F20" t="s">
        <v>9</v>
      </c>
      <c r="G20">
        <f>SUMIF(StockIn!B:B, A20, StockIn!D:D)</f>
        <v>336</v>
      </c>
      <c r="H20" s="1">
        <f>SUMIF(StockOut!B:B, A20, StockOut!D:D)</f>
        <v>246</v>
      </c>
      <c r="I20" s="1">
        <f t="shared" si="0"/>
        <v>90</v>
      </c>
      <c r="J20" s="1" t="str">
        <f t="shared" si="1"/>
        <v>OK</v>
      </c>
      <c r="K20" s="1">
        <f t="shared" si="2"/>
        <v>169470</v>
      </c>
    </row>
    <row r="21" spans="1:11" x14ac:dyDescent="0.2">
      <c r="A21" t="s">
        <v>52</v>
      </c>
      <c r="B21" t="s">
        <v>53</v>
      </c>
      <c r="C21" t="s">
        <v>51</v>
      </c>
      <c r="D21">
        <v>3611</v>
      </c>
      <c r="E21">
        <v>15</v>
      </c>
      <c r="F21" t="s">
        <v>12</v>
      </c>
      <c r="G21">
        <f>SUMIF(StockIn!B:B, A21, StockIn!D:D)</f>
        <v>54</v>
      </c>
      <c r="H21" s="1">
        <f>SUMIF(StockOut!B:B, A21, StockOut!D:D)</f>
        <v>128</v>
      </c>
      <c r="I21" s="1">
        <f t="shared" si="0"/>
        <v>-74</v>
      </c>
      <c r="J21" s="1" t="str">
        <f t="shared" si="1"/>
        <v>Reorder Now</v>
      </c>
      <c r="K21" s="1">
        <f t="shared" si="2"/>
        <v>-267214</v>
      </c>
    </row>
    <row r="22" spans="1:11" x14ac:dyDescent="0.2">
      <c r="A22" t="s">
        <v>54</v>
      </c>
      <c r="B22" t="s">
        <v>55</v>
      </c>
      <c r="C22" t="s">
        <v>51</v>
      </c>
      <c r="D22">
        <v>943</v>
      </c>
      <c r="E22">
        <v>20</v>
      </c>
      <c r="F22" t="s">
        <v>9</v>
      </c>
      <c r="G22">
        <f>SUMIF(StockIn!B:B, A22, StockIn!D:D)</f>
        <v>354</v>
      </c>
      <c r="H22" s="1">
        <f>SUMIF(StockOut!B:B, A22, StockOut!D:D)</f>
        <v>196</v>
      </c>
      <c r="I22" s="1">
        <f t="shared" si="0"/>
        <v>158</v>
      </c>
      <c r="J22" s="1" t="str">
        <f t="shared" si="1"/>
        <v>OK</v>
      </c>
      <c r="K22" s="1">
        <f t="shared" si="2"/>
        <v>148994</v>
      </c>
    </row>
    <row r="23" spans="1:11" x14ac:dyDescent="0.2">
      <c r="A23" t="s">
        <v>56</v>
      </c>
      <c r="B23" t="s">
        <v>57</v>
      </c>
      <c r="C23" t="s">
        <v>51</v>
      </c>
      <c r="D23">
        <v>2161</v>
      </c>
      <c r="E23">
        <v>25</v>
      </c>
      <c r="F23" t="s">
        <v>9</v>
      </c>
      <c r="G23">
        <f>SUMIF(StockIn!B:B, A23, StockIn!D:D)</f>
        <v>272</v>
      </c>
      <c r="H23" s="1">
        <f>SUMIF(StockOut!B:B, A23, StockOut!D:D)</f>
        <v>325</v>
      </c>
      <c r="I23" s="1">
        <f t="shared" si="0"/>
        <v>-53</v>
      </c>
      <c r="J23" s="1" t="str">
        <f t="shared" si="1"/>
        <v>Reorder Now</v>
      </c>
      <c r="K23" s="1">
        <f t="shared" si="2"/>
        <v>-114533</v>
      </c>
    </row>
    <row r="24" spans="1:11" x14ac:dyDescent="0.2">
      <c r="A24" t="s">
        <v>58</v>
      </c>
      <c r="B24" t="s">
        <v>59</v>
      </c>
      <c r="C24" t="s">
        <v>51</v>
      </c>
      <c r="D24">
        <v>2104</v>
      </c>
      <c r="E24">
        <v>10</v>
      </c>
      <c r="F24" t="s">
        <v>40</v>
      </c>
      <c r="G24">
        <f>SUMIF(StockIn!B:B, A24, StockIn!D:D)</f>
        <v>663</v>
      </c>
      <c r="H24" s="1">
        <f>SUMIF(StockOut!B:B, A24, StockOut!D:D)</f>
        <v>110</v>
      </c>
      <c r="I24" s="1">
        <f t="shared" si="0"/>
        <v>553</v>
      </c>
      <c r="J24" s="1" t="str">
        <f t="shared" si="1"/>
        <v>OK</v>
      </c>
      <c r="K24" s="1">
        <f t="shared" si="2"/>
        <v>1163512</v>
      </c>
    </row>
    <row r="25" spans="1:11" x14ac:dyDescent="0.2">
      <c r="A25" t="s">
        <v>60</v>
      </c>
      <c r="B25" t="s">
        <v>61</v>
      </c>
      <c r="C25" t="s">
        <v>62</v>
      </c>
      <c r="D25">
        <v>507</v>
      </c>
      <c r="E25">
        <v>15</v>
      </c>
      <c r="F25" t="s">
        <v>12</v>
      </c>
      <c r="G25">
        <f>SUMIF(StockIn!B:B, A25, StockIn!D:D)</f>
        <v>249</v>
      </c>
      <c r="H25" s="1">
        <f>SUMIF(StockOut!B:B, A25, StockOut!D:D)</f>
        <v>100</v>
      </c>
      <c r="I25" s="1">
        <f t="shared" si="0"/>
        <v>149</v>
      </c>
      <c r="J25" s="1" t="str">
        <f t="shared" si="1"/>
        <v>OK</v>
      </c>
      <c r="K25" s="1">
        <f t="shared" si="2"/>
        <v>75543</v>
      </c>
    </row>
    <row r="26" spans="1:11" x14ac:dyDescent="0.2">
      <c r="A26" t="s">
        <v>63</v>
      </c>
      <c r="B26" t="s">
        <v>64</v>
      </c>
      <c r="C26" t="s">
        <v>62</v>
      </c>
      <c r="D26">
        <v>2646</v>
      </c>
      <c r="E26">
        <v>30</v>
      </c>
      <c r="F26" t="s">
        <v>40</v>
      </c>
      <c r="G26">
        <f>SUMIF(StockIn!B:B, A26, StockIn!D:D)</f>
        <v>294</v>
      </c>
      <c r="H26" s="1">
        <f>SUMIF(StockOut!B:B, A26, StockOut!D:D)</f>
        <v>429</v>
      </c>
      <c r="I26" s="1">
        <f t="shared" si="0"/>
        <v>-135</v>
      </c>
      <c r="J26" s="1" t="str">
        <f t="shared" si="1"/>
        <v>Reorder Now</v>
      </c>
      <c r="K26" s="1">
        <f t="shared" si="2"/>
        <v>-357210</v>
      </c>
    </row>
    <row r="27" spans="1:11" x14ac:dyDescent="0.2">
      <c r="A27" t="s">
        <v>65</v>
      </c>
      <c r="B27" t="s">
        <v>66</v>
      </c>
      <c r="C27" t="s">
        <v>62</v>
      </c>
      <c r="D27">
        <v>3430</v>
      </c>
      <c r="E27">
        <v>25</v>
      </c>
      <c r="F27" t="s">
        <v>9</v>
      </c>
      <c r="G27">
        <f>SUMIF(StockIn!B:B, A27, StockIn!D:D)</f>
        <v>195</v>
      </c>
      <c r="H27" s="1">
        <f>SUMIF(StockOut!B:B, A27, StockOut!D:D)</f>
        <v>257</v>
      </c>
      <c r="I27" s="1">
        <f t="shared" si="0"/>
        <v>-62</v>
      </c>
      <c r="J27" s="1" t="str">
        <f t="shared" si="1"/>
        <v>Reorder Now</v>
      </c>
      <c r="K27" s="1">
        <f t="shared" si="2"/>
        <v>-212660</v>
      </c>
    </row>
    <row r="28" spans="1:11" x14ac:dyDescent="0.2">
      <c r="A28" t="s">
        <v>67</v>
      </c>
      <c r="B28" t="s">
        <v>68</v>
      </c>
      <c r="C28" t="s">
        <v>62</v>
      </c>
      <c r="D28">
        <v>3263</v>
      </c>
      <c r="E28">
        <v>25</v>
      </c>
      <c r="F28" t="s">
        <v>17</v>
      </c>
      <c r="G28">
        <f>SUMIF(StockIn!B:B, A28, StockIn!D:D)</f>
        <v>164</v>
      </c>
      <c r="H28" s="1">
        <f>SUMIF(StockOut!B:B, A28, StockOut!D:D)</f>
        <v>254</v>
      </c>
      <c r="I28" s="1">
        <f t="shared" si="0"/>
        <v>-90</v>
      </c>
      <c r="J28" s="1" t="str">
        <f t="shared" si="1"/>
        <v>Reorder Now</v>
      </c>
      <c r="K28" s="1">
        <f t="shared" si="2"/>
        <v>-293670</v>
      </c>
    </row>
    <row r="29" spans="1:11" x14ac:dyDescent="0.2">
      <c r="A29" t="s">
        <v>69</v>
      </c>
      <c r="B29" t="s">
        <v>70</v>
      </c>
      <c r="C29" t="s">
        <v>62</v>
      </c>
      <c r="D29">
        <v>4349</v>
      </c>
      <c r="E29">
        <v>25</v>
      </c>
      <c r="F29" t="s">
        <v>71</v>
      </c>
      <c r="G29">
        <f>SUMIF(StockIn!B:B, A29, StockIn!D:D)</f>
        <v>464</v>
      </c>
      <c r="H29" s="1">
        <f>SUMIF(StockOut!B:B, A29, StockOut!D:D)</f>
        <v>112</v>
      </c>
      <c r="I29" s="1">
        <f t="shared" si="0"/>
        <v>352</v>
      </c>
      <c r="J29" s="1" t="str">
        <f t="shared" si="1"/>
        <v>OK</v>
      </c>
      <c r="K29" s="1">
        <f t="shared" si="2"/>
        <v>1530848</v>
      </c>
    </row>
    <row r="30" spans="1:11" x14ac:dyDescent="0.2">
      <c r="A30" t="s">
        <v>72</v>
      </c>
      <c r="B30" t="s">
        <v>73</v>
      </c>
      <c r="C30" t="s">
        <v>62</v>
      </c>
      <c r="D30">
        <v>3325</v>
      </c>
      <c r="E30">
        <v>30</v>
      </c>
      <c r="F30" t="s">
        <v>40</v>
      </c>
      <c r="G30">
        <f>SUMIF(StockIn!B:B, A30, StockIn!D:D)</f>
        <v>450</v>
      </c>
      <c r="H30" s="1">
        <f>SUMIF(StockOut!B:B, A30, StockOut!D:D)</f>
        <v>132</v>
      </c>
      <c r="I30" s="1">
        <f t="shared" si="0"/>
        <v>318</v>
      </c>
      <c r="J30" s="1" t="str">
        <f t="shared" si="1"/>
        <v>OK</v>
      </c>
      <c r="K30" s="1">
        <f t="shared" si="2"/>
        <v>1057350</v>
      </c>
    </row>
    <row r="31" spans="1:11" x14ac:dyDescent="0.2">
      <c r="A31" t="s">
        <v>74</v>
      </c>
      <c r="B31" t="s">
        <v>75</v>
      </c>
      <c r="C31" t="s">
        <v>76</v>
      </c>
      <c r="D31">
        <v>1578</v>
      </c>
      <c r="E31">
        <v>10</v>
      </c>
      <c r="F31" t="s">
        <v>40</v>
      </c>
      <c r="G31">
        <f>SUMIF(StockIn!B:B, A31, StockIn!D:D)</f>
        <v>127</v>
      </c>
      <c r="H31" s="1">
        <f>SUMIF(StockOut!B:B, A31, StockOut!D:D)</f>
        <v>256</v>
      </c>
      <c r="I31" s="1">
        <f t="shared" si="0"/>
        <v>-129</v>
      </c>
      <c r="J31" s="1" t="str">
        <f t="shared" si="1"/>
        <v>Reorder Now</v>
      </c>
      <c r="K31" s="1">
        <f t="shared" si="2"/>
        <v>-203562</v>
      </c>
    </row>
    <row r="32" spans="1:11" x14ac:dyDescent="0.2">
      <c r="A32" t="s">
        <v>77</v>
      </c>
      <c r="B32" t="s">
        <v>78</v>
      </c>
      <c r="C32" t="s">
        <v>76</v>
      </c>
      <c r="D32">
        <v>3428</v>
      </c>
      <c r="E32">
        <v>15</v>
      </c>
      <c r="F32" t="s">
        <v>71</v>
      </c>
      <c r="G32">
        <f>SUMIF(StockIn!B:B, A32, StockIn!D:D)</f>
        <v>352</v>
      </c>
      <c r="H32" s="1">
        <f>SUMIF(StockOut!B:B, A32, StockOut!D:D)</f>
        <v>330</v>
      </c>
      <c r="I32" s="1">
        <f t="shared" si="0"/>
        <v>22</v>
      </c>
      <c r="J32" s="1" t="str">
        <f t="shared" si="1"/>
        <v>OK</v>
      </c>
      <c r="K32" s="1">
        <f t="shared" si="2"/>
        <v>75416</v>
      </c>
    </row>
    <row r="33" spans="1:11" x14ac:dyDescent="0.2">
      <c r="A33" t="s">
        <v>79</v>
      </c>
      <c r="B33" t="s">
        <v>80</v>
      </c>
      <c r="C33" t="s">
        <v>76</v>
      </c>
      <c r="D33">
        <v>2016</v>
      </c>
      <c r="E33">
        <v>30</v>
      </c>
      <c r="F33" t="s">
        <v>40</v>
      </c>
      <c r="G33">
        <f>SUMIF(StockIn!B:B, A33, StockIn!D:D)</f>
        <v>155</v>
      </c>
      <c r="H33" s="1">
        <f>SUMIF(StockOut!B:B, A33, StockOut!D:D)</f>
        <v>207</v>
      </c>
      <c r="I33" s="1">
        <f t="shared" si="0"/>
        <v>-52</v>
      </c>
      <c r="J33" s="1" t="str">
        <f t="shared" si="1"/>
        <v>Reorder Now</v>
      </c>
      <c r="K33" s="1">
        <f t="shared" si="2"/>
        <v>-104832</v>
      </c>
    </row>
    <row r="34" spans="1:11" x14ac:dyDescent="0.2">
      <c r="A34" t="s">
        <v>81</v>
      </c>
      <c r="B34" t="s">
        <v>82</v>
      </c>
      <c r="C34" t="s">
        <v>76</v>
      </c>
      <c r="D34">
        <v>4759</v>
      </c>
      <c r="E34">
        <v>20</v>
      </c>
      <c r="F34" t="s">
        <v>17</v>
      </c>
      <c r="G34">
        <f>SUMIF(StockIn!B:B, A34, StockIn!D:D)</f>
        <v>520</v>
      </c>
      <c r="H34" s="1">
        <f>SUMIF(StockOut!B:B, A34, StockOut!D:D)</f>
        <v>123</v>
      </c>
      <c r="I34" s="1">
        <f t="shared" si="0"/>
        <v>397</v>
      </c>
      <c r="J34" s="1" t="str">
        <f t="shared" si="1"/>
        <v>OK</v>
      </c>
      <c r="K34" s="1">
        <f t="shared" si="2"/>
        <v>1889323</v>
      </c>
    </row>
    <row r="35" spans="1:11" x14ac:dyDescent="0.2">
      <c r="A35" t="s">
        <v>83</v>
      </c>
      <c r="B35" t="s">
        <v>84</v>
      </c>
      <c r="C35" t="s">
        <v>76</v>
      </c>
      <c r="D35">
        <v>3886</v>
      </c>
      <c r="E35">
        <v>20</v>
      </c>
      <c r="F35" t="s">
        <v>40</v>
      </c>
      <c r="G35">
        <f>SUMIF(StockIn!B:B, A35, StockIn!D:D)</f>
        <v>315</v>
      </c>
      <c r="H35" s="1">
        <f>SUMIF(StockOut!B:B, A35, StockOut!D:D)</f>
        <v>176</v>
      </c>
      <c r="I35" s="1">
        <f t="shared" si="0"/>
        <v>139</v>
      </c>
      <c r="J35" s="1" t="str">
        <f t="shared" si="1"/>
        <v>OK</v>
      </c>
      <c r="K35" s="1">
        <f t="shared" si="2"/>
        <v>540154</v>
      </c>
    </row>
  </sheetData>
  <conditionalFormatting sqref="J1:J1048576">
    <cfRule type="containsText" dxfId="2" priority="2" operator="containsText" text="Reorder Now">
      <formula>NOT(ISERROR(SEARCH("Reorder Now",J1)))</formula>
    </cfRule>
    <cfRule type="containsText" dxfId="1" priority="1" operator="containsText" text="OK">
      <formula>NOT(ISERROR(SEARCH("OK",J1)))</formula>
    </cfRule>
  </conditionalFormatting>
  <dataValidations count="2">
    <dataValidation type="list" allowBlank="1" showInputMessage="1" showErrorMessage="1" sqref="C1:C1048576" xr:uid="{62456C82-A199-9D49-A94D-9F0A0612B0FC}">
      <formula1>"Electronics,Stationery,Groceries,Furniture,Cleaning Supplies,Packaging"</formula1>
    </dataValidation>
    <dataValidation type="list" allowBlank="1" showInputMessage="1" showErrorMessage="1" sqref="F1:F1048576" xr:uid="{760404B1-74C0-374B-94BD-1EE1805B7DE4}">
      <formula1>"Al-Falah Traders,Zaman Enterprises,City Wholesale,Prime Distributors,Khan Suppliers"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1"/>
  <sheetViews>
    <sheetView workbookViewId="0">
      <pane ySplit="1" topLeftCell="A2" activePane="bottomLeft" state="frozen"/>
      <selection pane="bottomLeft" activeCell="G11" sqref="G11"/>
    </sheetView>
  </sheetViews>
  <sheetFormatPr baseColWidth="10" defaultColWidth="8.83203125" defaultRowHeight="15" x14ac:dyDescent="0.2"/>
  <sheetData>
    <row r="1" spans="1:4" x14ac:dyDescent="0.2">
      <c r="A1" t="s">
        <v>85</v>
      </c>
      <c r="B1" t="s">
        <v>0</v>
      </c>
      <c r="C1" t="s">
        <v>86</v>
      </c>
      <c r="D1" t="s">
        <v>87</v>
      </c>
    </row>
    <row r="2" spans="1:4" x14ac:dyDescent="0.2">
      <c r="A2" t="s">
        <v>88</v>
      </c>
      <c r="B2" t="s">
        <v>49</v>
      </c>
      <c r="C2" t="s">
        <v>89</v>
      </c>
      <c r="D2">
        <v>22</v>
      </c>
    </row>
    <row r="3" spans="1:4" x14ac:dyDescent="0.2">
      <c r="A3" t="s">
        <v>90</v>
      </c>
      <c r="B3" t="s">
        <v>18</v>
      </c>
      <c r="C3" t="s">
        <v>89</v>
      </c>
      <c r="D3">
        <v>92</v>
      </c>
    </row>
    <row r="4" spans="1:4" x14ac:dyDescent="0.2">
      <c r="A4" t="s">
        <v>91</v>
      </c>
      <c r="B4" t="s">
        <v>47</v>
      </c>
      <c r="C4" t="s">
        <v>89</v>
      </c>
      <c r="D4">
        <v>10</v>
      </c>
    </row>
    <row r="5" spans="1:4" x14ac:dyDescent="0.2">
      <c r="A5" t="s">
        <v>92</v>
      </c>
      <c r="B5" t="s">
        <v>83</v>
      </c>
      <c r="C5" t="s">
        <v>93</v>
      </c>
      <c r="D5">
        <v>34</v>
      </c>
    </row>
    <row r="6" spans="1:4" x14ac:dyDescent="0.2">
      <c r="A6" t="s">
        <v>94</v>
      </c>
      <c r="B6" t="s">
        <v>63</v>
      </c>
      <c r="C6" t="s">
        <v>95</v>
      </c>
      <c r="D6">
        <v>81</v>
      </c>
    </row>
    <row r="7" spans="1:4" x14ac:dyDescent="0.2">
      <c r="A7" t="s">
        <v>96</v>
      </c>
      <c r="B7" t="s">
        <v>54</v>
      </c>
      <c r="C7" t="s">
        <v>95</v>
      </c>
      <c r="D7">
        <v>56</v>
      </c>
    </row>
    <row r="8" spans="1:4" x14ac:dyDescent="0.2">
      <c r="A8" t="s">
        <v>97</v>
      </c>
      <c r="B8" t="s">
        <v>6</v>
      </c>
      <c r="C8" t="s">
        <v>95</v>
      </c>
      <c r="D8">
        <v>57</v>
      </c>
    </row>
    <row r="9" spans="1:4" x14ac:dyDescent="0.2">
      <c r="A9" t="s">
        <v>98</v>
      </c>
      <c r="B9" t="s">
        <v>15</v>
      </c>
      <c r="C9" t="s">
        <v>99</v>
      </c>
      <c r="D9">
        <v>10</v>
      </c>
    </row>
    <row r="10" spans="1:4" x14ac:dyDescent="0.2">
      <c r="A10" t="s">
        <v>100</v>
      </c>
      <c r="B10" t="s">
        <v>29</v>
      </c>
      <c r="C10" t="s">
        <v>101</v>
      </c>
      <c r="D10">
        <v>27</v>
      </c>
    </row>
    <row r="11" spans="1:4" x14ac:dyDescent="0.2">
      <c r="A11" t="s">
        <v>102</v>
      </c>
      <c r="B11" t="s">
        <v>72</v>
      </c>
      <c r="C11" t="s">
        <v>103</v>
      </c>
      <c r="D11">
        <v>25</v>
      </c>
    </row>
    <row r="12" spans="1:4" x14ac:dyDescent="0.2">
      <c r="A12" t="s">
        <v>104</v>
      </c>
      <c r="B12" t="s">
        <v>69</v>
      </c>
      <c r="C12" t="s">
        <v>105</v>
      </c>
      <c r="D12">
        <v>99</v>
      </c>
    </row>
    <row r="13" spans="1:4" x14ac:dyDescent="0.2">
      <c r="A13" t="s">
        <v>106</v>
      </c>
      <c r="B13" t="s">
        <v>69</v>
      </c>
      <c r="C13" t="s">
        <v>105</v>
      </c>
      <c r="D13">
        <v>75</v>
      </c>
    </row>
    <row r="14" spans="1:4" x14ac:dyDescent="0.2">
      <c r="A14" t="s">
        <v>107</v>
      </c>
      <c r="B14" t="s">
        <v>38</v>
      </c>
      <c r="C14" t="s">
        <v>105</v>
      </c>
      <c r="D14">
        <v>31</v>
      </c>
    </row>
    <row r="15" spans="1:4" x14ac:dyDescent="0.2">
      <c r="A15" t="s">
        <v>108</v>
      </c>
      <c r="B15" t="s">
        <v>49</v>
      </c>
      <c r="C15" t="s">
        <v>109</v>
      </c>
      <c r="D15">
        <v>83</v>
      </c>
    </row>
    <row r="16" spans="1:4" x14ac:dyDescent="0.2">
      <c r="A16" t="s">
        <v>110</v>
      </c>
      <c r="B16" t="s">
        <v>58</v>
      </c>
      <c r="C16" t="s">
        <v>111</v>
      </c>
      <c r="D16">
        <v>87</v>
      </c>
    </row>
    <row r="17" spans="1:4" x14ac:dyDescent="0.2">
      <c r="A17" t="s">
        <v>112</v>
      </c>
      <c r="B17" t="s">
        <v>20</v>
      </c>
      <c r="C17" t="s">
        <v>113</v>
      </c>
      <c r="D17">
        <v>42</v>
      </c>
    </row>
    <row r="18" spans="1:4" x14ac:dyDescent="0.2">
      <c r="A18" t="s">
        <v>114</v>
      </c>
      <c r="B18" t="s">
        <v>27</v>
      </c>
      <c r="C18" t="s">
        <v>115</v>
      </c>
      <c r="D18">
        <v>59</v>
      </c>
    </row>
    <row r="19" spans="1:4" x14ac:dyDescent="0.2">
      <c r="A19" t="s">
        <v>116</v>
      </c>
      <c r="B19" t="s">
        <v>13</v>
      </c>
      <c r="C19" t="s">
        <v>117</v>
      </c>
      <c r="D19">
        <v>56</v>
      </c>
    </row>
    <row r="20" spans="1:4" x14ac:dyDescent="0.2">
      <c r="A20" t="s">
        <v>118</v>
      </c>
      <c r="B20" t="s">
        <v>69</v>
      </c>
      <c r="C20" t="s">
        <v>119</v>
      </c>
      <c r="D20">
        <v>29</v>
      </c>
    </row>
    <row r="21" spans="1:4" x14ac:dyDescent="0.2">
      <c r="A21" t="s">
        <v>120</v>
      </c>
      <c r="B21" t="s">
        <v>29</v>
      </c>
      <c r="C21" t="s">
        <v>119</v>
      </c>
      <c r="D21">
        <v>30</v>
      </c>
    </row>
    <row r="22" spans="1:4" x14ac:dyDescent="0.2">
      <c r="A22" t="s">
        <v>121</v>
      </c>
      <c r="B22" t="s">
        <v>56</v>
      </c>
      <c r="C22" t="s">
        <v>122</v>
      </c>
      <c r="D22">
        <v>56</v>
      </c>
    </row>
    <row r="23" spans="1:4" x14ac:dyDescent="0.2">
      <c r="A23" t="s">
        <v>123</v>
      </c>
      <c r="B23" t="s">
        <v>38</v>
      </c>
      <c r="C23" t="s">
        <v>122</v>
      </c>
      <c r="D23">
        <v>12</v>
      </c>
    </row>
    <row r="24" spans="1:4" x14ac:dyDescent="0.2">
      <c r="A24" t="s">
        <v>124</v>
      </c>
      <c r="B24" t="s">
        <v>69</v>
      </c>
      <c r="C24" t="s">
        <v>122</v>
      </c>
      <c r="D24">
        <v>15</v>
      </c>
    </row>
    <row r="25" spans="1:4" x14ac:dyDescent="0.2">
      <c r="A25" t="s">
        <v>125</v>
      </c>
      <c r="B25" t="s">
        <v>52</v>
      </c>
      <c r="C25" t="s">
        <v>126</v>
      </c>
      <c r="D25">
        <v>54</v>
      </c>
    </row>
    <row r="26" spans="1:4" x14ac:dyDescent="0.2">
      <c r="A26" t="s">
        <v>127</v>
      </c>
      <c r="B26" t="s">
        <v>43</v>
      </c>
      <c r="C26" t="s">
        <v>126</v>
      </c>
      <c r="D26">
        <v>69</v>
      </c>
    </row>
    <row r="27" spans="1:4" x14ac:dyDescent="0.2">
      <c r="A27" t="s">
        <v>128</v>
      </c>
      <c r="B27" t="s">
        <v>83</v>
      </c>
      <c r="C27" t="s">
        <v>129</v>
      </c>
      <c r="D27">
        <v>76</v>
      </c>
    </row>
    <row r="28" spans="1:4" x14ac:dyDescent="0.2">
      <c r="A28" t="s">
        <v>130</v>
      </c>
      <c r="B28" t="s">
        <v>56</v>
      </c>
      <c r="C28" t="s">
        <v>131</v>
      </c>
      <c r="D28">
        <v>83</v>
      </c>
    </row>
    <row r="29" spans="1:4" x14ac:dyDescent="0.2">
      <c r="A29" t="s">
        <v>132</v>
      </c>
      <c r="B29" t="s">
        <v>54</v>
      </c>
      <c r="C29" t="s">
        <v>133</v>
      </c>
      <c r="D29">
        <v>65</v>
      </c>
    </row>
    <row r="30" spans="1:4" x14ac:dyDescent="0.2">
      <c r="A30" t="s">
        <v>134</v>
      </c>
      <c r="B30" t="s">
        <v>33</v>
      </c>
      <c r="C30" t="s">
        <v>135</v>
      </c>
      <c r="D30">
        <v>44</v>
      </c>
    </row>
    <row r="31" spans="1:4" x14ac:dyDescent="0.2">
      <c r="A31" t="s">
        <v>136</v>
      </c>
      <c r="B31" t="s">
        <v>41</v>
      </c>
      <c r="C31" t="s">
        <v>137</v>
      </c>
      <c r="D31">
        <v>61</v>
      </c>
    </row>
    <row r="32" spans="1:4" x14ac:dyDescent="0.2">
      <c r="A32" t="s">
        <v>138</v>
      </c>
      <c r="B32" t="s">
        <v>83</v>
      </c>
      <c r="C32" t="s">
        <v>137</v>
      </c>
      <c r="D32">
        <v>41</v>
      </c>
    </row>
    <row r="33" spans="1:4" x14ac:dyDescent="0.2">
      <c r="A33" t="s">
        <v>139</v>
      </c>
      <c r="B33" t="s">
        <v>18</v>
      </c>
      <c r="C33" t="s">
        <v>140</v>
      </c>
      <c r="D33">
        <v>86</v>
      </c>
    </row>
    <row r="34" spans="1:4" x14ac:dyDescent="0.2">
      <c r="A34" t="s">
        <v>141</v>
      </c>
      <c r="B34" t="s">
        <v>18</v>
      </c>
      <c r="C34" t="s">
        <v>140</v>
      </c>
      <c r="D34">
        <v>87</v>
      </c>
    </row>
    <row r="35" spans="1:4" x14ac:dyDescent="0.2">
      <c r="A35" t="s">
        <v>142</v>
      </c>
      <c r="B35" t="s">
        <v>65</v>
      </c>
      <c r="C35" t="s">
        <v>143</v>
      </c>
      <c r="D35">
        <v>86</v>
      </c>
    </row>
    <row r="36" spans="1:4" x14ac:dyDescent="0.2">
      <c r="A36" t="s">
        <v>144</v>
      </c>
      <c r="B36" t="s">
        <v>13</v>
      </c>
      <c r="C36" t="s">
        <v>145</v>
      </c>
      <c r="D36">
        <v>18</v>
      </c>
    </row>
    <row r="37" spans="1:4" x14ac:dyDescent="0.2">
      <c r="A37" t="s">
        <v>146</v>
      </c>
      <c r="B37" t="s">
        <v>33</v>
      </c>
      <c r="C37" t="s">
        <v>145</v>
      </c>
      <c r="D37">
        <v>43</v>
      </c>
    </row>
    <row r="38" spans="1:4" x14ac:dyDescent="0.2">
      <c r="A38" t="s">
        <v>147</v>
      </c>
      <c r="B38" t="s">
        <v>10</v>
      </c>
      <c r="C38" t="s">
        <v>145</v>
      </c>
      <c r="D38">
        <v>24</v>
      </c>
    </row>
    <row r="39" spans="1:4" x14ac:dyDescent="0.2">
      <c r="A39" t="s">
        <v>148</v>
      </c>
      <c r="B39" t="s">
        <v>74</v>
      </c>
      <c r="C39" t="s">
        <v>149</v>
      </c>
      <c r="D39">
        <v>73</v>
      </c>
    </row>
    <row r="40" spans="1:4" x14ac:dyDescent="0.2">
      <c r="A40" t="s">
        <v>150</v>
      </c>
      <c r="B40" t="s">
        <v>63</v>
      </c>
      <c r="C40" t="s">
        <v>149</v>
      </c>
      <c r="D40">
        <v>49</v>
      </c>
    </row>
    <row r="41" spans="1:4" x14ac:dyDescent="0.2">
      <c r="A41" t="s">
        <v>151</v>
      </c>
      <c r="B41" t="s">
        <v>47</v>
      </c>
      <c r="C41" t="s">
        <v>152</v>
      </c>
      <c r="D41">
        <v>18</v>
      </c>
    </row>
    <row r="42" spans="1:4" x14ac:dyDescent="0.2">
      <c r="A42" t="s">
        <v>153</v>
      </c>
      <c r="B42" t="s">
        <v>81</v>
      </c>
      <c r="C42" t="s">
        <v>152</v>
      </c>
      <c r="D42">
        <v>85</v>
      </c>
    </row>
    <row r="43" spans="1:4" x14ac:dyDescent="0.2">
      <c r="A43" t="s">
        <v>154</v>
      </c>
      <c r="B43" t="s">
        <v>81</v>
      </c>
      <c r="C43" t="s">
        <v>155</v>
      </c>
      <c r="D43">
        <v>65</v>
      </c>
    </row>
    <row r="44" spans="1:4" x14ac:dyDescent="0.2">
      <c r="A44" t="s">
        <v>156</v>
      </c>
      <c r="B44" t="s">
        <v>58</v>
      </c>
      <c r="C44" t="s">
        <v>155</v>
      </c>
      <c r="D44">
        <v>22</v>
      </c>
    </row>
    <row r="45" spans="1:4" x14ac:dyDescent="0.2">
      <c r="A45" t="s">
        <v>157</v>
      </c>
      <c r="B45" t="s">
        <v>45</v>
      </c>
      <c r="C45" t="s">
        <v>158</v>
      </c>
      <c r="D45">
        <v>87</v>
      </c>
    </row>
    <row r="46" spans="1:4" x14ac:dyDescent="0.2">
      <c r="A46" t="s">
        <v>159</v>
      </c>
      <c r="B46" t="s">
        <v>72</v>
      </c>
      <c r="C46" t="s">
        <v>158</v>
      </c>
      <c r="D46">
        <v>95</v>
      </c>
    </row>
    <row r="47" spans="1:4" x14ac:dyDescent="0.2">
      <c r="A47" t="s">
        <v>160</v>
      </c>
      <c r="B47" t="s">
        <v>69</v>
      </c>
      <c r="C47" t="s">
        <v>158</v>
      </c>
      <c r="D47">
        <v>88</v>
      </c>
    </row>
    <row r="48" spans="1:4" x14ac:dyDescent="0.2">
      <c r="A48" t="s">
        <v>161</v>
      </c>
      <c r="B48" t="s">
        <v>72</v>
      </c>
      <c r="C48" t="s">
        <v>162</v>
      </c>
      <c r="D48">
        <v>41</v>
      </c>
    </row>
    <row r="49" spans="1:4" x14ac:dyDescent="0.2">
      <c r="A49" t="s">
        <v>163</v>
      </c>
      <c r="B49" t="s">
        <v>41</v>
      </c>
      <c r="C49" t="s">
        <v>164</v>
      </c>
      <c r="D49">
        <v>96</v>
      </c>
    </row>
    <row r="50" spans="1:4" x14ac:dyDescent="0.2">
      <c r="A50" t="s">
        <v>165</v>
      </c>
      <c r="B50" t="s">
        <v>83</v>
      </c>
      <c r="C50" t="s">
        <v>166</v>
      </c>
      <c r="D50">
        <v>90</v>
      </c>
    </row>
    <row r="51" spans="1:4" x14ac:dyDescent="0.2">
      <c r="A51" t="s">
        <v>167</v>
      </c>
      <c r="B51" t="s">
        <v>13</v>
      </c>
      <c r="C51" t="s">
        <v>168</v>
      </c>
      <c r="D51">
        <v>66</v>
      </c>
    </row>
    <row r="52" spans="1:4" x14ac:dyDescent="0.2">
      <c r="A52" t="s">
        <v>169</v>
      </c>
      <c r="B52" t="s">
        <v>43</v>
      </c>
      <c r="C52" t="s">
        <v>170</v>
      </c>
      <c r="D52">
        <v>14</v>
      </c>
    </row>
    <row r="53" spans="1:4" x14ac:dyDescent="0.2">
      <c r="A53" t="s">
        <v>171</v>
      </c>
      <c r="B53" t="s">
        <v>20</v>
      </c>
      <c r="C53" t="s">
        <v>170</v>
      </c>
      <c r="D53">
        <v>61</v>
      </c>
    </row>
    <row r="54" spans="1:4" x14ac:dyDescent="0.2">
      <c r="A54" t="s">
        <v>172</v>
      </c>
      <c r="B54" t="s">
        <v>45</v>
      </c>
      <c r="C54" t="s">
        <v>173</v>
      </c>
      <c r="D54">
        <v>93</v>
      </c>
    </row>
    <row r="55" spans="1:4" x14ac:dyDescent="0.2">
      <c r="A55" t="s">
        <v>174</v>
      </c>
      <c r="B55" t="s">
        <v>54</v>
      </c>
      <c r="C55" t="s">
        <v>175</v>
      </c>
      <c r="D55">
        <v>59</v>
      </c>
    </row>
    <row r="56" spans="1:4" x14ac:dyDescent="0.2">
      <c r="A56" t="s">
        <v>176</v>
      </c>
      <c r="B56" t="s">
        <v>25</v>
      </c>
      <c r="C56" t="s">
        <v>175</v>
      </c>
      <c r="D56">
        <v>15</v>
      </c>
    </row>
    <row r="57" spans="1:4" x14ac:dyDescent="0.2">
      <c r="A57" t="s">
        <v>177</v>
      </c>
      <c r="B57" t="s">
        <v>43</v>
      </c>
      <c r="C57" t="s">
        <v>175</v>
      </c>
      <c r="D57">
        <v>69</v>
      </c>
    </row>
    <row r="58" spans="1:4" x14ac:dyDescent="0.2">
      <c r="A58" t="s">
        <v>178</v>
      </c>
      <c r="B58" t="s">
        <v>18</v>
      </c>
      <c r="C58" t="s">
        <v>179</v>
      </c>
      <c r="D58">
        <v>65</v>
      </c>
    </row>
    <row r="59" spans="1:4" x14ac:dyDescent="0.2">
      <c r="A59" t="s">
        <v>180</v>
      </c>
      <c r="B59" t="s">
        <v>6</v>
      </c>
      <c r="C59" t="s">
        <v>179</v>
      </c>
      <c r="D59">
        <v>19</v>
      </c>
    </row>
    <row r="60" spans="1:4" x14ac:dyDescent="0.2">
      <c r="A60" t="s">
        <v>181</v>
      </c>
      <c r="B60" t="s">
        <v>79</v>
      </c>
      <c r="C60" t="s">
        <v>182</v>
      </c>
      <c r="D60">
        <v>50</v>
      </c>
    </row>
    <row r="61" spans="1:4" x14ac:dyDescent="0.2">
      <c r="A61" t="s">
        <v>183</v>
      </c>
      <c r="B61" t="s">
        <v>49</v>
      </c>
      <c r="C61" t="s">
        <v>182</v>
      </c>
      <c r="D61">
        <v>91</v>
      </c>
    </row>
    <row r="62" spans="1:4" x14ac:dyDescent="0.2">
      <c r="A62" t="s">
        <v>184</v>
      </c>
      <c r="B62" t="s">
        <v>69</v>
      </c>
      <c r="C62" t="s">
        <v>182</v>
      </c>
      <c r="D62">
        <v>52</v>
      </c>
    </row>
    <row r="63" spans="1:4" x14ac:dyDescent="0.2">
      <c r="A63" t="s">
        <v>185</v>
      </c>
      <c r="B63" t="s">
        <v>58</v>
      </c>
      <c r="C63" t="s">
        <v>182</v>
      </c>
      <c r="D63">
        <v>60</v>
      </c>
    </row>
    <row r="64" spans="1:4" x14ac:dyDescent="0.2">
      <c r="A64" t="s">
        <v>186</v>
      </c>
      <c r="B64" t="s">
        <v>67</v>
      </c>
      <c r="C64" t="s">
        <v>187</v>
      </c>
      <c r="D64">
        <v>65</v>
      </c>
    </row>
    <row r="65" spans="1:4" x14ac:dyDescent="0.2">
      <c r="A65" t="s">
        <v>188</v>
      </c>
      <c r="B65" t="s">
        <v>41</v>
      </c>
      <c r="C65" t="s">
        <v>189</v>
      </c>
      <c r="D65">
        <v>72</v>
      </c>
    </row>
    <row r="66" spans="1:4" x14ac:dyDescent="0.2">
      <c r="A66" t="s">
        <v>190</v>
      </c>
      <c r="B66" t="s">
        <v>33</v>
      </c>
      <c r="C66" t="s">
        <v>189</v>
      </c>
      <c r="D66">
        <v>21</v>
      </c>
    </row>
    <row r="67" spans="1:4" x14ac:dyDescent="0.2">
      <c r="A67" t="s">
        <v>191</v>
      </c>
      <c r="B67" t="s">
        <v>81</v>
      </c>
      <c r="C67" t="s">
        <v>192</v>
      </c>
      <c r="D67">
        <v>13</v>
      </c>
    </row>
    <row r="68" spans="1:4" x14ac:dyDescent="0.2">
      <c r="A68" t="s">
        <v>193</v>
      </c>
      <c r="B68" t="s">
        <v>45</v>
      </c>
      <c r="C68" t="s">
        <v>192</v>
      </c>
      <c r="D68">
        <v>35</v>
      </c>
    </row>
    <row r="69" spans="1:4" x14ac:dyDescent="0.2">
      <c r="A69" t="s">
        <v>194</v>
      </c>
      <c r="B69" t="s">
        <v>79</v>
      </c>
      <c r="C69" t="s">
        <v>195</v>
      </c>
      <c r="D69">
        <v>24</v>
      </c>
    </row>
    <row r="70" spans="1:4" x14ac:dyDescent="0.2">
      <c r="A70" t="s">
        <v>196</v>
      </c>
      <c r="B70" t="s">
        <v>13</v>
      </c>
      <c r="C70" t="s">
        <v>195</v>
      </c>
      <c r="D70">
        <v>28</v>
      </c>
    </row>
    <row r="71" spans="1:4" x14ac:dyDescent="0.2">
      <c r="A71" t="s">
        <v>197</v>
      </c>
      <c r="B71" t="s">
        <v>54</v>
      </c>
      <c r="C71" t="s">
        <v>198</v>
      </c>
      <c r="D71">
        <v>15</v>
      </c>
    </row>
    <row r="72" spans="1:4" x14ac:dyDescent="0.2">
      <c r="A72" t="s">
        <v>199</v>
      </c>
      <c r="B72" t="s">
        <v>47</v>
      </c>
      <c r="C72" t="s">
        <v>200</v>
      </c>
      <c r="D72">
        <v>91</v>
      </c>
    </row>
    <row r="73" spans="1:4" x14ac:dyDescent="0.2">
      <c r="A73" t="s">
        <v>201</v>
      </c>
      <c r="B73" t="s">
        <v>60</v>
      </c>
      <c r="C73" t="s">
        <v>200</v>
      </c>
      <c r="D73">
        <v>20</v>
      </c>
    </row>
    <row r="74" spans="1:4" x14ac:dyDescent="0.2">
      <c r="A74" t="s">
        <v>202</v>
      </c>
      <c r="B74" t="s">
        <v>27</v>
      </c>
      <c r="C74" t="s">
        <v>203</v>
      </c>
      <c r="D74">
        <v>17</v>
      </c>
    </row>
    <row r="75" spans="1:4" x14ac:dyDescent="0.2">
      <c r="A75" t="s">
        <v>204</v>
      </c>
      <c r="B75" t="s">
        <v>13</v>
      </c>
      <c r="C75" t="s">
        <v>205</v>
      </c>
      <c r="D75">
        <v>98</v>
      </c>
    </row>
    <row r="76" spans="1:4" x14ac:dyDescent="0.2">
      <c r="A76" t="s">
        <v>206</v>
      </c>
      <c r="B76" t="s">
        <v>81</v>
      </c>
      <c r="C76" t="s">
        <v>205</v>
      </c>
      <c r="D76">
        <v>20</v>
      </c>
    </row>
    <row r="77" spans="1:4" x14ac:dyDescent="0.2">
      <c r="A77" t="s">
        <v>207</v>
      </c>
      <c r="B77" t="s">
        <v>54</v>
      </c>
      <c r="C77" t="s">
        <v>208</v>
      </c>
      <c r="D77">
        <v>58</v>
      </c>
    </row>
    <row r="78" spans="1:4" x14ac:dyDescent="0.2">
      <c r="A78" t="s">
        <v>209</v>
      </c>
      <c r="B78" t="s">
        <v>38</v>
      </c>
      <c r="C78" t="s">
        <v>210</v>
      </c>
      <c r="D78">
        <v>20</v>
      </c>
    </row>
    <row r="79" spans="1:4" x14ac:dyDescent="0.2">
      <c r="A79" t="s">
        <v>211</v>
      </c>
      <c r="B79" t="s">
        <v>79</v>
      </c>
      <c r="C79" t="s">
        <v>210</v>
      </c>
      <c r="D79">
        <v>13</v>
      </c>
    </row>
    <row r="80" spans="1:4" x14ac:dyDescent="0.2">
      <c r="A80" t="s">
        <v>212</v>
      </c>
      <c r="B80" t="s">
        <v>58</v>
      </c>
      <c r="C80" t="s">
        <v>213</v>
      </c>
      <c r="D80">
        <v>89</v>
      </c>
    </row>
    <row r="81" spans="1:4" x14ac:dyDescent="0.2">
      <c r="A81" t="s">
        <v>214</v>
      </c>
      <c r="B81" t="s">
        <v>77</v>
      </c>
      <c r="C81" t="s">
        <v>215</v>
      </c>
      <c r="D81">
        <v>10</v>
      </c>
    </row>
    <row r="82" spans="1:4" x14ac:dyDescent="0.2">
      <c r="A82" t="s">
        <v>216</v>
      </c>
      <c r="B82" t="s">
        <v>49</v>
      </c>
      <c r="C82" t="s">
        <v>217</v>
      </c>
      <c r="D82">
        <v>38</v>
      </c>
    </row>
    <row r="83" spans="1:4" x14ac:dyDescent="0.2">
      <c r="A83" t="s">
        <v>218</v>
      </c>
      <c r="B83" t="s">
        <v>33</v>
      </c>
      <c r="C83" t="s">
        <v>219</v>
      </c>
      <c r="D83">
        <v>20</v>
      </c>
    </row>
    <row r="84" spans="1:4" x14ac:dyDescent="0.2">
      <c r="A84" t="s">
        <v>220</v>
      </c>
      <c r="B84" t="s">
        <v>56</v>
      </c>
      <c r="C84" t="s">
        <v>219</v>
      </c>
      <c r="D84">
        <v>38</v>
      </c>
    </row>
    <row r="85" spans="1:4" x14ac:dyDescent="0.2">
      <c r="A85" t="s">
        <v>221</v>
      </c>
      <c r="B85" t="s">
        <v>49</v>
      </c>
      <c r="C85" t="s">
        <v>222</v>
      </c>
      <c r="D85">
        <v>55</v>
      </c>
    </row>
    <row r="86" spans="1:4" x14ac:dyDescent="0.2">
      <c r="A86" t="s">
        <v>223</v>
      </c>
      <c r="B86" t="s">
        <v>35</v>
      </c>
      <c r="C86" t="s">
        <v>222</v>
      </c>
      <c r="D86">
        <v>95</v>
      </c>
    </row>
    <row r="87" spans="1:4" x14ac:dyDescent="0.2">
      <c r="A87" t="s">
        <v>224</v>
      </c>
      <c r="B87" t="s">
        <v>72</v>
      </c>
      <c r="C87" t="s">
        <v>225</v>
      </c>
      <c r="D87">
        <v>64</v>
      </c>
    </row>
    <row r="88" spans="1:4" x14ac:dyDescent="0.2">
      <c r="A88" t="s">
        <v>226</v>
      </c>
      <c r="B88" t="s">
        <v>18</v>
      </c>
      <c r="C88" t="s">
        <v>227</v>
      </c>
      <c r="D88">
        <v>97</v>
      </c>
    </row>
    <row r="89" spans="1:4" x14ac:dyDescent="0.2">
      <c r="A89" t="s">
        <v>228</v>
      </c>
      <c r="B89" t="s">
        <v>63</v>
      </c>
      <c r="C89" t="s">
        <v>227</v>
      </c>
      <c r="D89">
        <v>17</v>
      </c>
    </row>
    <row r="90" spans="1:4" x14ac:dyDescent="0.2">
      <c r="A90" t="s">
        <v>229</v>
      </c>
      <c r="B90" t="s">
        <v>69</v>
      </c>
      <c r="C90" t="s">
        <v>230</v>
      </c>
      <c r="D90">
        <v>71</v>
      </c>
    </row>
    <row r="91" spans="1:4" x14ac:dyDescent="0.2">
      <c r="A91" t="s">
        <v>231</v>
      </c>
      <c r="B91" t="s">
        <v>31</v>
      </c>
      <c r="C91" t="s">
        <v>230</v>
      </c>
      <c r="D91">
        <v>77</v>
      </c>
    </row>
    <row r="92" spans="1:4" x14ac:dyDescent="0.2">
      <c r="A92" t="s">
        <v>232</v>
      </c>
      <c r="B92" t="s">
        <v>45</v>
      </c>
      <c r="C92" t="s">
        <v>230</v>
      </c>
      <c r="D92">
        <v>87</v>
      </c>
    </row>
    <row r="93" spans="1:4" x14ac:dyDescent="0.2">
      <c r="A93" t="s">
        <v>233</v>
      </c>
      <c r="B93" t="s">
        <v>60</v>
      </c>
      <c r="C93" t="s">
        <v>234</v>
      </c>
      <c r="D93">
        <v>98</v>
      </c>
    </row>
    <row r="94" spans="1:4" x14ac:dyDescent="0.2">
      <c r="A94" t="s">
        <v>235</v>
      </c>
      <c r="B94" t="s">
        <v>20</v>
      </c>
      <c r="C94" t="s">
        <v>236</v>
      </c>
      <c r="D94">
        <v>39</v>
      </c>
    </row>
    <row r="95" spans="1:4" x14ac:dyDescent="0.2">
      <c r="A95" t="s">
        <v>237</v>
      </c>
      <c r="B95" t="s">
        <v>45</v>
      </c>
      <c r="C95" t="s">
        <v>236</v>
      </c>
      <c r="D95">
        <v>17</v>
      </c>
    </row>
    <row r="96" spans="1:4" x14ac:dyDescent="0.2">
      <c r="A96" t="s">
        <v>238</v>
      </c>
      <c r="B96" t="s">
        <v>45</v>
      </c>
      <c r="C96" t="s">
        <v>239</v>
      </c>
      <c r="D96">
        <v>66</v>
      </c>
    </row>
    <row r="97" spans="1:4" x14ac:dyDescent="0.2">
      <c r="A97" t="s">
        <v>240</v>
      </c>
      <c r="B97" t="s">
        <v>31</v>
      </c>
      <c r="C97" t="s">
        <v>241</v>
      </c>
      <c r="D97">
        <v>14</v>
      </c>
    </row>
    <row r="98" spans="1:4" x14ac:dyDescent="0.2">
      <c r="A98" t="s">
        <v>242</v>
      </c>
      <c r="B98" t="s">
        <v>74</v>
      </c>
      <c r="C98" t="s">
        <v>243</v>
      </c>
      <c r="D98">
        <v>54</v>
      </c>
    </row>
    <row r="99" spans="1:4" x14ac:dyDescent="0.2">
      <c r="A99" t="s">
        <v>244</v>
      </c>
      <c r="B99" t="s">
        <v>77</v>
      </c>
      <c r="C99" t="s">
        <v>243</v>
      </c>
      <c r="D99">
        <v>97</v>
      </c>
    </row>
    <row r="100" spans="1:4" x14ac:dyDescent="0.2">
      <c r="A100" t="s">
        <v>245</v>
      </c>
      <c r="B100" t="s">
        <v>47</v>
      </c>
      <c r="C100" t="s">
        <v>246</v>
      </c>
      <c r="D100">
        <v>49</v>
      </c>
    </row>
    <row r="101" spans="1:4" x14ac:dyDescent="0.2">
      <c r="A101" t="s">
        <v>247</v>
      </c>
      <c r="B101" t="s">
        <v>27</v>
      </c>
      <c r="C101" t="s">
        <v>248</v>
      </c>
      <c r="D101">
        <v>49</v>
      </c>
    </row>
    <row r="102" spans="1:4" x14ac:dyDescent="0.2">
      <c r="A102" t="s">
        <v>249</v>
      </c>
      <c r="B102" t="s">
        <v>81</v>
      </c>
      <c r="C102" t="s">
        <v>248</v>
      </c>
      <c r="D102">
        <v>75</v>
      </c>
    </row>
    <row r="103" spans="1:4" x14ac:dyDescent="0.2">
      <c r="A103" t="s">
        <v>250</v>
      </c>
      <c r="B103" t="s">
        <v>18</v>
      </c>
      <c r="C103" t="s">
        <v>251</v>
      </c>
      <c r="D103">
        <v>85</v>
      </c>
    </row>
    <row r="104" spans="1:4" x14ac:dyDescent="0.2">
      <c r="A104" t="s">
        <v>252</v>
      </c>
      <c r="B104" t="s">
        <v>35</v>
      </c>
      <c r="C104" t="s">
        <v>251</v>
      </c>
      <c r="D104">
        <v>46</v>
      </c>
    </row>
    <row r="105" spans="1:4" x14ac:dyDescent="0.2">
      <c r="A105" t="s">
        <v>253</v>
      </c>
      <c r="B105" t="s">
        <v>60</v>
      </c>
      <c r="C105" t="s">
        <v>251</v>
      </c>
      <c r="D105">
        <v>62</v>
      </c>
    </row>
    <row r="106" spans="1:4" x14ac:dyDescent="0.2">
      <c r="A106" t="s">
        <v>254</v>
      </c>
      <c r="B106" t="s">
        <v>29</v>
      </c>
      <c r="C106" t="s">
        <v>255</v>
      </c>
      <c r="D106">
        <v>76</v>
      </c>
    </row>
    <row r="107" spans="1:4" x14ac:dyDescent="0.2">
      <c r="A107" t="s">
        <v>256</v>
      </c>
      <c r="B107" t="s">
        <v>77</v>
      </c>
      <c r="C107" t="s">
        <v>255</v>
      </c>
      <c r="D107">
        <v>53</v>
      </c>
    </row>
    <row r="108" spans="1:4" x14ac:dyDescent="0.2">
      <c r="A108" t="s">
        <v>257</v>
      </c>
      <c r="B108" t="s">
        <v>54</v>
      </c>
      <c r="C108" t="s">
        <v>258</v>
      </c>
      <c r="D108">
        <v>30</v>
      </c>
    </row>
    <row r="109" spans="1:4" x14ac:dyDescent="0.2">
      <c r="A109" t="s">
        <v>259</v>
      </c>
      <c r="B109" t="s">
        <v>20</v>
      </c>
      <c r="C109" t="s">
        <v>258</v>
      </c>
      <c r="D109">
        <v>59</v>
      </c>
    </row>
    <row r="110" spans="1:4" x14ac:dyDescent="0.2">
      <c r="A110" t="s">
        <v>260</v>
      </c>
      <c r="B110" t="s">
        <v>72</v>
      </c>
      <c r="C110" t="s">
        <v>258</v>
      </c>
      <c r="D110">
        <v>55</v>
      </c>
    </row>
    <row r="111" spans="1:4" x14ac:dyDescent="0.2">
      <c r="A111" t="s">
        <v>261</v>
      </c>
      <c r="B111" t="s">
        <v>83</v>
      </c>
      <c r="C111" t="s">
        <v>262</v>
      </c>
      <c r="D111">
        <v>74</v>
      </c>
    </row>
    <row r="112" spans="1:4" x14ac:dyDescent="0.2">
      <c r="A112" t="s">
        <v>263</v>
      </c>
      <c r="B112" t="s">
        <v>25</v>
      </c>
      <c r="C112" t="s">
        <v>264</v>
      </c>
      <c r="D112">
        <v>68</v>
      </c>
    </row>
    <row r="113" spans="1:4" x14ac:dyDescent="0.2">
      <c r="A113" t="s">
        <v>265</v>
      </c>
      <c r="B113" t="s">
        <v>38</v>
      </c>
      <c r="C113" t="s">
        <v>264</v>
      </c>
      <c r="D113">
        <v>53</v>
      </c>
    </row>
    <row r="114" spans="1:4" x14ac:dyDescent="0.2">
      <c r="A114" t="s">
        <v>266</v>
      </c>
      <c r="B114" t="s">
        <v>69</v>
      </c>
      <c r="C114" t="s">
        <v>264</v>
      </c>
      <c r="D114">
        <v>35</v>
      </c>
    </row>
    <row r="115" spans="1:4" x14ac:dyDescent="0.2">
      <c r="A115" t="s">
        <v>267</v>
      </c>
      <c r="B115" t="s">
        <v>77</v>
      </c>
      <c r="C115" t="s">
        <v>268</v>
      </c>
      <c r="D115">
        <v>63</v>
      </c>
    </row>
    <row r="116" spans="1:4" x14ac:dyDescent="0.2">
      <c r="A116" t="s">
        <v>269</v>
      </c>
      <c r="B116" t="s">
        <v>63</v>
      </c>
      <c r="C116" t="s">
        <v>268</v>
      </c>
      <c r="D116">
        <v>37</v>
      </c>
    </row>
    <row r="117" spans="1:4" x14ac:dyDescent="0.2">
      <c r="A117" t="s">
        <v>270</v>
      </c>
      <c r="B117" t="s">
        <v>29</v>
      </c>
      <c r="C117" t="s">
        <v>271</v>
      </c>
      <c r="D117">
        <v>31</v>
      </c>
    </row>
    <row r="118" spans="1:4" x14ac:dyDescent="0.2">
      <c r="A118" t="s">
        <v>272</v>
      </c>
      <c r="B118" t="s">
        <v>63</v>
      </c>
      <c r="C118" t="s">
        <v>271</v>
      </c>
      <c r="D118">
        <v>21</v>
      </c>
    </row>
    <row r="119" spans="1:4" x14ac:dyDescent="0.2">
      <c r="A119" t="s">
        <v>273</v>
      </c>
      <c r="B119" t="s">
        <v>27</v>
      </c>
      <c r="C119" t="s">
        <v>271</v>
      </c>
      <c r="D119">
        <v>56</v>
      </c>
    </row>
    <row r="120" spans="1:4" x14ac:dyDescent="0.2">
      <c r="A120" t="s">
        <v>274</v>
      </c>
      <c r="B120" t="s">
        <v>65</v>
      </c>
      <c r="C120" t="s">
        <v>275</v>
      </c>
      <c r="D120">
        <v>31</v>
      </c>
    </row>
    <row r="121" spans="1:4" x14ac:dyDescent="0.2">
      <c r="A121" t="s">
        <v>276</v>
      </c>
      <c r="B121" t="s">
        <v>18</v>
      </c>
      <c r="C121" t="s">
        <v>275</v>
      </c>
      <c r="D121">
        <v>85</v>
      </c>
    </row>
    <row r="122" spans="1:4" x14ac:dyDescent="0.2">
      <c r="A122" t="s">
        <v>277</v>
      </c>
      <c r="B122" t="s">
        <v>31</v>
      </c>
      <c r="C122" t="s">
        <v>275</v>
      </c>
      <c r="D122">
        <v>74</v>
      </c>
    </row>
    <row r="123" spans="1:4" x14ac:dyDescent="0.2">
      <c r="A123" t="s">
        <v>278</v>
      </c>
      <c r="B123" t="s">
        <v>27</v>
      </c>
      <c r="C123" t="s">
        <v>279</v>
      </c>
      <c r="D123">
        <v>27</v>
      </c>
    </row>
    <row r="124" spans="1:4" x14ac:dyDescent="0.2">
      <c r="A124" t="s">
        <v>280</v>
      </c>
      <c r="B124" t="s">
        <v>29</v>
      </c>
      <c r="C124" t="s">
        <v>281</v>
      </c>
      <c r="D124">
        <v>93</v>
      </c>
    </row>
    <row r="125" spans="1:4" x14ac:dyDescent="0.2">
      <c r="A125" t="s">
        <v>282</v>
      </c>
      <c r="B125" t="s">
        <v>67</v>
      </c>
      <c r="C125" t="s">
        <v>281</v>
      </c>
      <c r="D125">
        <v>99</v>
      </c>
    </row>
    <row r="126" spans="1:4" x14ac:dyDescent="0.2">
      <c r="A126" t="s">
        <v>283</v>
      </c>
      <c r="B126" t="s">
        <v>79</v>
      </c>
      <c r="C126" t="s">
        <v>284</v>
      </c>
      <c r="D126">
        <v>68</v>
      </c>
    </row>
    <row r="127" spans="1:4" x14ac:dyDescent="0.2">
      <c r="A127" t="s">
        <v>285</v>
      </c>
      <c r="B127" t="s">
        <v>72</v>
      </c>
      <c r="C127" t="s">
        <v>284</v>
      </c>
      <c r="D127">
        <v>89</v>
      </c>
    </row>
    <row r="128" spans="1:4" x14ac:dyDescent="0.2">
      <c r="A128" t="s">
        <v>286</v>
      </c>
      <c r="B128" t="s">
        <v>38</v>
      </c>
      <c r="C128" t="s">
        <v>287</v>
      </c>
      <c r="D128">
        <v>65</v>
      </c>
    </row>
    <row r="129" spans="1:4" x14ac:dyDescent="0.2">
      <c r="A129" t="s">
        <v>288</v>
      </c>
      <c r="B129" t="s">
        <v>13</v>
      </c>
      <c r="C129" t="s">
        <v>289</v>
      </c>
      <c r="D129">
        <v>47</v>
      </c>
    </row>
    <row r="130" spans="1:4" x14ac:dyDescent="0.2">
      <c r="A130" t="s">
        <v>290</v>
      </c>
      <c r="B130" t="s">
        <v>77</v>
      </c>
      <c r="C130" t="s">
        <v>289</v>
      </c>
      <c r="D130">
        <v>89</v>
      </c>
    </row>
    <row r="131" spans="1:4" x14ac:dyDescent="0.2">
      <c r="A131" t="s">
        <v>291</v>
      </c>
      <c r="B131" t="s">
        <v>35</v>
      </c>
      <c r="C131" t="s">
        <v>292</v>
      </c>
      <c r="D131">
        <v>46</v>
      </c>
    </row>
    <row r="132" spans="1:4" x14ac:dyDescent="0.2">
      <c r="A132" t="s">
        <v>293</v>
      </c>
      <c r="B132" t="s">
        <v>81</v>
      </c>
      <c r="C132" t="s">
        <v>294</v>
      </c>
      <c r="D132">
        <v>31</v>
      </c>
    </row>
    <row r="133" spans="1:4" x14ac:dyDescent="0.2">
      <c r="A133" t="s">
        <v>295</v>
      </c>
      <c r="B133" t="s">
        <v>63</v>
      </c>
      <c r="C133" t="s">
        <v>294</v>
      </c>
      <c r="D133">
        <v>89</v>
      </c>
    </row>
    <row r="134" spans="1:4" x14ac:dyDescent="0.2">
      <c r="A134" t="s">
        <v>296</v>
      </c>
      <c r="B134" t="s">
        <v>43</v>
      </c>
      <c r="C134" t="s">
        <v>297</v>
      </c>
      <c r="D134">
        <v>54</v>
      </c>
    </row>
    <row r="135" spans="1:4" x14ac:dyDescent="0.2">
      <c r="A135" t="s">
        <v>298</v>
      </c>
      <c r="B135" t="s">
        <v>72</v>
      </c>
      <c r="C135" t="s">
        <v>299</v>
      </c>
      <c r="D135">
        <v>81</v>
      </c>
    </row>
    <row r="136" spans="1:4" x14ac:dyDescent="0.2">
      <c r="A136" t="s">
        <v>300</v>
      </c>
      <c r="B136" t="s">
        <v>60</v>
      </c>
      <c r="C136" t="s">
        <v>301</v>
      </c>
      <c r="D136">
        <v>69</v>
      </c>
    </row>
    <row r="137" spans="1:4" x14ac:dyDescent="0.2">
      <c r="A137" t="s">
        <v>302</v>
      </c>
      <c r="B137" t="s">
        <v>47</v>
      </c>
      <c r="C137" t="s">
        <v>303</v>
      </c>
      <c r="D137">
        <v>10</v>
      </c>
    </row>
    <row r="138" spans="1:4" x14ac:dyDescent="0.2">
      <c r="A138" t="s">
        <v>304</v>
      </c>
      <c r="B138" t="s">
        <v>49</v>
      </c>
      <c r="C138" t="s">
        <v>303</v>
      </c>
      <c r="D138">
        <v>15</v>
      </c>
    </row>
    <row r="139" spans="1:4" x14ac:dyDescent="0.2">
      <c r="A139" t="s">
        <v>305</v>
      </c>
      <c r="B139" t="s">
        <v>38</v>
      </c>
      <c r="C139" t="s">
        <v>303</v>
      </c>
      <c r="D139">
        <v>28</v>
      </c>
    </row>
    <row r="140" spans="1:4" x14ac:dyDescent="0.2">
      <c r="A140" t="s">
        <v>306</v>
      </c>
      <c r="B140" t="s">
        <v>58</v>
      </c>
      <c r="C140" t="s">
        <v>303</v>
      </c>
      <c r="D140">
        <v>61</v>
      </c>
    </row>
    <row r="141" spans="1:4" x14ac:dyDescent="0.2">
      <c r="A141" t="s">
        <v>307</v>
      </c>
      <c r="B141" t="s">
        <v>18</v>
      </c>
      <c r="C141" t="s">
        <v>308</v>
      </c>
      <c r="D141">
        <v>17</v>
      </c>
    </row>
    <row r="142" spans="1:4" x14ac:dyDescent="0.2">
      <c r="A142" t="s">
        <v>309</v>
      </c>
      <c r="B142" t="s">
        <v>77</v>
      </c>
      <c r="C142" t="s">
        <v>308</v>
      </c>
      <c r="D142">
        <v>40</v>
      </c>
    </row>
    <row r="143" spans="1:4" x14ac:dyDescent="0.2">
      <c r="A143" t="s">
        <v>310</v>
      </c>
      <c r="B143" t="s">
        <v>38</v>
      </c>
      <c r="C143" t="s">
        <v>311</v>
      </c>
      <c r="D143">
        <v>87</v>
      </c>
    </row>
    <row r="144" spans="1:4" x14ac:dyDescent="0.2">
      <c r="A144" t="s">
        <v>312</v>
      </c>
      <c r="B144" t="s">
        <v>35</v>
      </c>
      <c r="C144" t="s">
        <v>311</v>
      </c>
      <c r="D144">
        <v>64</v>
      </c>
    </row>
    <row r="145" spans="1:4" x14ac:dyDescent="0.2">
      <c r="A145" t="s">
        <v>313</v>
      </c>
      <c r="B145" t="s">
        <v>29</v>
      </c>
      <c r="C145" t="s">
        <v>311</v>
      </c>
      <c r="D145">
        <v>51</v>
      </c>
    </row>
    <row r="146" spans="1:4" x14ac:dyDescent="0.2">
      <c r="A146" t="s">
        <v>314</v>
      </c>
      <c r="B146" t="s">
        <v>22</v>
      </c>
      <c r="C146" t="s">
        <v>315</v>
      </c>
      <c r="D146">
        <v>27</v>
      </c>
    </row>
    <row r="147" spans="1:4" x14ac:dyDescent="0.2">
      <c r="A147" t="s">
        <v>316</v>
      </c>
      <c r="B147" t="s">
        <v>56</v>
      </c>
      <c r="C147" t="s">
        <v>317</v>
      </c>
      <c r="D147">
        <v>66</v>
      </c>
    </row>
    <row r="148" spans="1:4" x14ac:dyDescent="0.2">
      <c r="A148" t="s">
        <v>318</v>
      </c>
      <c r="B148" t="s">
        <v>20</v>
      </c>
      <c r="C148" t="s">
        <v>317</v>
      </c>
      <c r="D148">
        <v>59</v>
      </c>
    </row>
    <row r="149" spans="1:4" x14ac:dyDescent="0.2">
      <c r="A149" t="s">
        <v>319</v>
      </c>
      <c r="B149" t="s">
        <v>41</v>
      </c>
      <c r="C149" t="s">
        <v>320</v>
      </c>
      <c r="D149">
        <v>47</v>
      </c>
    </row>
    <row r="150" spans="1:4" x14ac:dyDescent="0.2">
      <c r="A150" t="s">
        <v>321</v>
      </c>
      <c r="B150" t="s">
        <v>54</v>
      </c>
      <c r="C150" t="s">
        <v>322</v>
      </c>
      <c r="D150">
        <v>18</v>
      </c>
    </row>
    <row r="151" spans="1:4" x14ac:dyDescent="0.2">
      <c r="A151" t="s">
        <v>323</v>
      </c>
      <c r="B151" t="s">
        <v>47</v>
      </c>
      <c r="C151" t="s">
        <v>322</v>
      </c>
      <c r="D151">
        <v>69</v>
      </c>
    </row>
    <row r="152" spans="1:4" x14ac:dyDescent="0.2">
      <c r="A152" t="s">
        <v>324</v>
      </c>
      <c r="B152" t="s">
        <v>47</v>
      </c>
      <c r="C152" t="s">
        <v>325</v>
      </c>
      <c r="D152">
        <v>15</v>
      </c>
    </row>
    <row r="153" spans="1:4" x14ac:dyDescent="0.2">
      <c r="A153" t="s">
        <v>326</v>
      </c>
      <c r="B153" t="s">
        <v>6</v>
      </c>
      <c r="C153" t="s">
        <v>327</v>
      </c>
      <c r="D153">
        <v>97</v>
      </c>
    </row>
    <row r="154" spans="1:4" x14ac:dyDescent="0.2">
      <c r="A154" t="s">
        <v>328</v>
      </c>
      <c r="B154" t="s">
        <v>35</v>
      </c>
      <c r="C154" t="s">
        <v>327</v>
      </c>
      <c r="D154">
        <v>36</v>
      </c>
    </row>
    <row r="155" spans="1:4" x14ac:dyDescent="0.2">
      <c r="A155" t="s">
        <v>329</v>
      </c>
      <c r="B155" t="s">
        <v>15</v>
      </c>
      <c r="C155" t="s">
        <v>330</v>
      </c>
      <c r="D155">
        <v>96</v>
      </c>
    </row>
    <row r="156" spans="1:4" x14ac:dyDescent="0.2">
      <c r="A156" t="s">
        <v>331</v>
      </c>
      <c r="B156" t="s">
        <v>81</v>
      </c>
      <c r="C156" t="s">
        <v>330</v>
      </c>
      <c r="D156">
        <v>35</v>
      </c>
    </row>
    <row r="157" spans="1:4" x14ac:dyDescent="0.2">
      <c r="A157" t="s">
        <v>332</v>
      </c>
      <c r="B157" t="s">
        <v>58</v>
      </c>
      <c r="C157" t="s">
        <v>330</v>
      </c>
      <c r="D157">
        <v>74</v>
      </c>
    </row>
    <row r="158" spans="1:4" x14ac:dyDescent="0.2">
      <c r="A158" t="s">
        <v>333</v>
      </c>
      <c r="B158" t="s">
        <v>15</v>
      </c>
      <c r="C158" t="s">
        <v>334</v>
      </c>
      <c r="D158">
        <v>81</v>
      </c>
    </row>
    <row r="159" spans="1:4" x14ac:dyDescent="0.2">
      <c r="A159" t="s">
        <v>335</v>
      </c>
      <c r="B159" t="s">
        <v>81</v>
      </c>
      <c r="C159" t="s">
        <v>334</v>
      </c>
      <c r="D159">
        <v>81</v>
      </c>
    </row>
    <row r="160" spans="1:4" x14ac:dyDescent="0.2">
      <c r="A160" t="s">
        <v>336</v>
      </c>
      <c r="B160" t="s">
        <v>58</v>
      </c>
      <c r="C160" t="s">
        <v>337</v>
      </c>
      <c r="D160">
        <v>99</v>
      </c>
    </row>
    <row r="161" spans="1:4" x14ac:dyDescent="0.2">
      <c r="A161" t="s">
        <v>338</v>
      </c>
      <c r="B161" t="s">
        <v>81</v>
      </c>
      <c r="C161" t="s">
        <v>339</v>
      </c>
      <c r="D161">
        <v>97</v>
      </c>
    </row>
    <row r="162" spans="1:4" x14ac:dyDescent="0.2">
      <c r="A162" t="s">
        <v>340</v>
      </c>
      <c r="B162" t="s">
        <v>33</v>
      </c>
      <c r="C162" t="s">
        <v>339</v>
      </c>
      <c r="D162">
        <v>32</v>
      </c>
    </row>
    <row r="163" spans="1:4" x14ac:dyDescent="0.2">
      <c r="A163" t="s">
        <v>341</v>
      </c>
      <c r="B163" t="s">
        <v>47</v>
      </c>
      <c r="C163" t="s">
        <v>342</v>
      </c>
      <c r="D163">
        <v>87</v>
      </c>
    </row>
    <row r="164" spans="1:4" x14ac:dyDescent="0.2">
      <c r="A164" t="s">
        <v>343</v>
      </c>
      <c r="B164" t="s">
        <v>45</v>
      </c>
      <c r="C164" t="s">
        <v>344</v>
      </c>
      <c r="D164">
        <v>53</v>
      </c>
    </row>
    <row r="165" spans="1:4" x14ac:dyDescent="0.2">
      <c r="A165" t="s">
        <v>345</v>
      </c>
      <c r="B165" t="s">
        <v>22</v>
      </c>
      <c r="C165" t="s">
        <v>346</v>
      </c>
      <c r="D165">
        <v>95</v>
      </c>
    </row>
    <row r="166" spans="1:4" x14ac:dyDescent="0.2">
      <c r="A166" t="s">
        <v>347</v>
      </c>
      <c r="B166" t="s">
        <v>18</v>
      </c>
      <c r="C166" t="s">
        <v>346</v>
      </c>
      <c r="D166">
        <v>84</v>
      </c>
    </row>
    <row r="167" spans="1:4" x14ac:dyDescent="0.2">
      <c r="A167" t="s">
        <v>348</v>
      </c>
      <c r="B167" t="s">
        <v>29</v>
      </c>
      <c r="C167" t="s">
        <v>349</v>
      </c>
      <c r="D167">
        <v>75</v>
      </c>
    </row>
    <row r="168" spans="1:4" x14ac:dyDescent="0.2">
      <c r="A168" t="s">
        <v>350</v>
      </c>
      <c r="B168" t="s">
        <v>49</v>
      </c>
      <c r="C168" t="s">
        <v>349</v>
      </c>
      <c r="D168">
        <v>32</v>
      </c>
    </row>
    <row r="169" spans="1:4" x14ac:dyDescent="0.2">
      <c r="A169" t="s">
        <v>351</v>
      </c>
      <c r="B169" t="s">
        <v>31</v>
      </c>
      <c r="C169" t="s">
        <v>352</v>
      </c>
      <c r="D169">
        <v>76</v>
      </c>
    </row>
    <row r="170" spans="1:4" x14ac:dyDescent="0.2">
      <c r="A170" t="s">
        <v>353</v>
      </c>
      <c r="B170" t="s">
        <v>41</v>
      </c>
      <c r="C170" t="s">
        <v>352</v>
      </c>
      <c r="D170">
        <v>49</v>
      </c>
    </row>
    <row r="171" spans="1:4" x14ac:dyDescent="0.2">
      <c r="A171" t="s">
        <v>354</v>
      </c>
      <c r="B171" t="s">
        <v>54</v>
      </c>
      <c r="C171" t="s">
        <v>355</v>
      </c>
      <c r="D171">
        <v>12</v>
      </c>
    </row>
    <row r="172" spans="1:4" x14ac:dyDescent="0.2">
      <c r="A172" t="s">
        <v>356</v>
      </c>
      <c r="B172" t="s">
        <v>54</v>
      </c>
      <c r="C172" t="s">
        <v>355</v>
      </c>
      <c r="D172">
        <v>41</v>
      </c>
    </row>
    <row r="173" spans="1:4" x14ac:dyDescent="0.2">
      <c r="A173" t="s">
        <v>357</v>
      </c>
      <c r="B173" t="s">
        <v>15</v>
      </c>
      <c r="C173" t="s">
        <v>355</v>
      </c>
      <c r="D173">
        <v>91</v>
      </c>
    </row>
    <row r="174" spans="1:4" x14ac:dyDescent="0.2">
      <c r="A174" t="s">
        <v>358</v>
      </c>
      <c r="B174" t="s">
        <v>58</v>
      </c>
      <c r="C174" t="s">
        <v>355</v>
      </c>
      <c r="D174">
        <v>77</v>
      </c>
    </row>
    <row r="175" spans="1:4" x14ac:dyDescent="0.2">
      <c r="A175" t="s">
        <v>359</v>
      </c>
      <c r="B175" t="s">
        <v>81</v>
      </c>
      <c r="C175" t="s">
        <v>355</v>
      </c>
      <c r="D175">
        <v>18</v>
      </c>
    </row>
    <row r="176" spans="1:4" x14ac:dyDescent="0.2">
      <c r="A176" t="s">
        <v>360</v>
      </c>
      <c r="B176" t="s">
        <v>65</v>
      </c>
      <c r="C176" t="s">
        <v>361</v>
      </c>
      <c r="D176">
        <v>78</v>
      </c>
    </row>
    <row r="177" spans="1:4" x14ac:dyDescent="0.2">
      <c r="A177" t="s">
        <v>362</v>
      </c>
      <c r="B177" t="s">
        <v>56</v>
      </c>
      <c r="C177" t="s">
        <v>361</v>
      </c>
      <c r="D177">
        <v>29</v>
      </c>
    </row>
    <row r="178" spans="1:4" x14ac:dyDescent="0.2">
      <c r="A178" t="s">
        <v>363</v>
      </c>
      <c r="B178" t="s">
        <v>22</v>
      </c>
      <c r="C178" t="s">
        <v>364</v>
      </c>
      <c r="D178">
        <v>94</v>
      </c>
    </row>
    <row r="179" spans="1:4" x14ac:dyDescent="0.2">
      <c r="A179" t="s">
        <v>365</v>
      </c>
      <c r="B179" t="s">
        <v>13</v>
      </c>
      <c r="C179" t="s">
        <v>366</v>
      </c>
      <c r="D179">
        <v>76</v>
      </c>
    </row>
    <row r="180" spans="1:4" x14ac:dyDescent="0.2">
      <c r="A180" t="s">
        <v>367</v>
      </c>
      <c r="B180" t="s">
        <v>58</v>
      </c>
      <c r="C180" t="s">
        <v>366</v>
      </c>
      <c r="D180">
        <v>94</v>
      </c>
    </row>
    <row r="181" spans="1:4" x14ac:dyDescent="0.2">
      <c r="A181" t="s">
        <v>368</v>
      </c>
      <c r="B181" t="s">
        <v>33</v>
      </c>
      <c r="C181" t="s">
        <v>366</v>
      </c>
      <c r="D181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5" x14ac:dyDescent="0.2">
      <c r="A1" t="s">
        <v>85</v>
      </c>
      <c r="B1" t="s">
        <v>0</v>
      </c>
      <c r="C1" t="s">
        <v>86</v>
      </c>
      <c r="D1" t="s">
        <v>369</v>
      </c>
      <c r="E1" t="s">
        <v>370</v>
      </c>
    </row>
    <row r="2" spans="1:5" x14ac:dyDescent="0.2">
      <c r="A2" t="s">
        <v>371</v>
      </c>
      <c r="B2" t="s">
        <v>63</v>
      </c>
      <c r="C2" t="s">
        <v>93</v>
      </c>
      <c r="D2">
        <v>20</v>
      </c>
      <c r="E2" t="s">
        <v>372</v>
      </c>
    </row>
    <row r="3" spans="1:5" x14ac:dyDescent="0.2">
      <c r="A3" t="s">
        <v>373</v>
      </c>
      <c r="B3" t="s">
        <v>25</v>
      </c>
      <c r="C3" t="s">
        <v>93</v>
      </c>
      <c r="D3">
        <v>35</v>
      </c>
      <c r="E3" t="s">
        <v>374</v>
      </c>
    </row>
    <row r="4" spans="1:5" x14ac:dyDescent="0.2">
      <c r="A4" t="s">
        <v>375</v>
      </c>
      <c r="B4" t="s">
        <v>74</v>
      </c>
      <c r="C4" t="s">
        <v>95</v>
      </c>
      <c r="D4">
        <v>24</v>
      </c>
      <c r="E4" t="s">
        <v>376</v>
      </c>
    </row>
    <row r="5" spans="1:5" x14ac:dyDescent="0.2">
      <c r="A5" t="s">
        <v>377</v>
      </c>
      <c r="B5" t="s">
        <v>47</v>
      </c>
      <c r="C5" t="s">
        <v>95</v>
      </c>
      <c r="D5">
        <v>56</v>
      </c>
      <c r="E5" t="s">
        <v>378</v>
      </c>
    </row>
    <row r="6" spans="1:5" x14ac:dyDescent="0.2">
      <c r="A6" t="s">
        <v>379</v>
      </c>
      <c r="B6" t="s">
        <v>65</v>
      </c>
      <c r="C6" t="s">
        <v>380</v>
      </c>
      <c r="D6">
        <v>33</v>
      </c>
      <c r="E6" t="s">
        <v>372</v>
      </c>
    </row>
    <row r="7" spans="1:5" x14ac:dyDescent="0.2">
      <c r="A7" t="s">
        <v>381</v>
      </c>
      <c r="B7" t="s">
        <v>56</v>
      </c>
      <c r="C7" t="s">
        <v>380</v>
      </c>
      <c r="D7">
        <v>26</v>
      </c>
      <c r="E7" t="s">
        <v>378</v>
      </c>
    </row>
    <row r="8" spans="1:5" x14ac:dyDescent="0.2">
      <c r="A8" t="s">
        <v>382</v>
      </c>
      <c r="B8" t="s">
        <v>69</v>
      </c>
      <c r="C8" t="s">
        <v>383</v>
      </c>
      <c r="D8">
        <v>18</v>
      </c>
      <c r="E8" t="s">
        <v>376</v>
      </c>
    </row>
    <row r="9" spans="1:5" x14ac:dyDescent="0.2">
      <c r="A9" t="s">
        <v>384</v>
      </c>
      <c r="B9" t="s">
        <v>56</v>
      </c>
      <c r="C9" t="s">
        <v>383</v>
      </c>
      <c r="D9">
        <v>19</v>
      </c>
      <c r="E9" t="s">
        <v>374</v>
      </c>
    </row>
    <row r="10" spans="1:5" x14ac:dyDescent="0.2">
      <c r="A10" t="s">
        <v>385</v>
      </c>
      <c r="B10" t="s">
        <v>60</v>
      </c>
      <c r="C10" t="s">
        <v>383</v>
      </c>
      <c r="D10">
        <v>52</v>
      </c>
      <c r="E10" t="s">
        <v>378</v>
      </c>
    </row>
    <row r="11" spans="1:5" x14ac:dyDescent="0.2">
      <c r="A11" t="s">
        <v>386</v>
      </c>
      <c r="B11" t="s">
        <v>31</v>
      </c>
      <c r="C11" t="s">
        <v>99</v>
      </c>
      <c r="D11">
        <v>5</v>
      </c>
      <c r="E11" t="s">
        <v>387</v>
      </c>
    </row>
    <row r="12" spans="1:5" x14ac:dyDescent="0.2">
      <c r="A12" t="s">
        <v>388</v>
      </c>
      <c r="B12" t="s">
        <v>22</v>
      </c>
      <c r="C12" t="s">
        <v>103</v>
      </c>
      <c r="D12">
        <v>52</v>
      </c>
      <c r="E12" t="s">
        <v>378</v>
      </c>
    </row>
    <row r="13" spans="1:5" x14ac:dyDescent="0.2">
      <c r="A13" t="s">
        <v>389</v>
      </c>
      <c r="B13" t="s">
        <v>56</v>
      </c>
      <c r="C13" t="s">
        <v>109</v>
      </c>
      <c r="D13">
        <v>15</v>
      </c>
      <c r="E13" t="s">
        <v>374</v>
      </c>
    </row>
    <row r="14" spans="1:5" x14ac:dyDescent="0.2">
      <c r="A14" t="s">
        <v>390</v>
      </c>
      <c r="B14" t="s">
        <v>10</v>
      </c>
      <c r="C14" t="s">
        <v>109</v>
      </c>
      <c r="D14">
        <v>33</v>
      </c>
      <c r="E14" t="s">
        <v>374</v>
      </c>
    </row>
    <row r="15" spans="1:5" x14ac:dyDescent="0.2">
      <c r="A15" t="s">
        <v>391</v>
      </c>
      <c r="B15" t="s">
        <v>79</v>
      </c>
      <c r="C15" t="s">
        <v>109</v>
      </c>
      <c r="D15">
        <v>48</v>
      </c>
      <c r="E15" t="s">
        <v>372</v>
      </c>
    </row>
    <row r="16" spans="1:5" x14ac:dyDescent="0.2">
      <c r="A16" t="s">
        <v>392</v>
      </c>
      <c r="B16" t="s">
        <v>65</v>
      </c>
      <c r="C16" t="s">
        <v>109</v>
      </c>
      <c r="D16">
        <v>27</v>
      </c>
      <c r="E16" t="s">
        <v>378</v>
      </c>
    </row>
    <row r="17" spans="1:5" x14ac:dyDescent="0.2">
      <c r="A17" t="s">
        <v>393</v>
      </c>
      <c r="B17" t="s">
        <v>49</v>
      </c>
      <c r="C17" t="s">
        <v>111</v>
      </c>
      <c r="D17">
        <v>49</v>
      </c>
      <c r="E17" t="s">
        <v>376</v>
      </c>
    </row>
    <row r="18" spans="1:5" x14ac:dyDescent="0.2">
      <c r="A18" t="s">
        <v>394</v>
      </c>
      <c r="B18" t="s">
        <v>52</v>
      </c>
      <c r="C18" t="s">
        <v>111</v>
      </c>
      <c r="D18">
        <v>15</v>
      </c>
      <c r="E18" t="s">
        <v>374</v>
      </c>
    </row>
    <row r="19" spans="1:5" x14ac:dyDescent="0.2">
      <c r="A19" t="s">
        <v>395</v>
      </c>
      <c r="B19" t="s">
        <v>65</v>
      </c>
      <c r="C19" t="s">
        <v>111</v>
      </c>
      <c r="D19">
        <v>21</v>
      </c>
      <c r="E19" t="s">
        <v>376</v>
      </c>
    </row>
    <row r="20" spans="1:5" x14ac:dyDescent="0.2">
      <c r="A20" t="s">
        <v>396</v>
      </c>
      <c r="B20" t="s">
        <v>22</v>
      </c>
      <c r="C20" t="s">
        <v>113</v>
      </c>
      <c r="D20">
        <v>51</v>
      </c>
      <c r="E20" t="s">
        <v>376</v>
      </c>
    </row>
    <row r="21" spans="1:5" x14ac:dyDescent="0.2">
      <c r="A21" t="s">
        <v>397</v>
      </c>
      <c r="B21" t="s">
        <v>41</v>
      </c>
      <c r="C21" t="s">
        <v>115</v>
      </c>
      <c r="D21">
        <v>34</v>
      </c>
      <c r="E21" t="s">
        <v>374</v>
      </c>
    </row>
    <row r="22" spans="1:5" x14ac:dyDescent="0.2">
      <c r="A22" t="s">
        <v>398</v>
      </c>
      <c r="B22" t="s">
        <v>6</v>
      </c>
      <c r="C22" t="s">
        <v>115</v>
      </c>
      <c r="D22">
        <v>54</v>
      </c>
      <c r="E22" t="s">
        <v>376</v>
      </c>
    </row>
    <row r="23" spans="1:5" x14ac:dyDescent="0.2">
      <c r="A23" t="s">
        <v>399</v>
      </c>
      <c r="B23" t="s">
        <v>74</v>
      </c>
      <c r="C23" t="s">
        <v>400</v>
      </c>
      <c r="D23">
        <v>45</v>
      </c>
      <c r="E23" t="s">
        <v>372</v>
      </c>
    </row>
    <row r="24" spans="1:5" x14ac:dyDescent="0.2">
      <c r="A24" t="s">
        <v>401</v>
      </c>
      <c r="B24" t="s">
        <v>20</v>
      </c>
      <c r="C24" t="s">
        <v>117</v>
      </c>
      <c r="D24">
        <v>52</v>
      </c>
      <c r="E24" t="s">
        <v>372</v>
      </c>
    </row>
    <row r="25" spans="1:5" x14ac:dyDescent="0.2">
      <c r="A25" t="s">
        <v>402</v>
      </c>
      <c r="B25" t="s">
        <v>38</v>
      </c>
      <c r="C25" t="s">
        <v>119</v>
      </c>
      <c r="D25">
        <v>6</v>
      </c>
      <c r="E25" t="s">
        <v>376</v>
      </c>
    </row>
    <row r="26" spans="1:5" x14ac:dyDescent="0.2">
      <c r="A26" t="s">
        <v>403</v>
      </c>
      <c r="B26" t="s">
        <v>38</v>
      </c>
      <c r="C26" t="s">
        <v>119</v>
      </c>
      <c r="D26">
        <v>21</v>
      </c>
      <c r="E26" t="s">
        <v>404</v>
      </c>
    </row>
    <row r="27" spans="1:5" x14ac:dyDescent="0.2">
      <c r="A27" t="s">
        <v>405</v>
      </c>
      <c r="B27" t="s">
        <v>65</v>
      </c>
      <c r="C27" t="s">
        <v>119</v>
      </c>
      <c r="D27">
        <v>18</v>
      </c>
      <c r="E27" t="s">
        <v>376</v>
      </c>
    </row>
    <row r="28" spans="1:5" x14ac:dyDescent="0.2">
      <c r="A28" t="s">
        <v>406</v>
      </c>
      <c r="B28" t="s">
        <v>81</v>
      </c>
      <c r="C28" t="s">
        <v>122</v>
      </c>
      <c r="D28">
        <v>48</v>
      </c>
      <c r="E28" t="s">
        <v>376</v>
      </c>
    </row>
    <row r="29" spans="1:5" x14ac:dyDescent="0.2">
      <c r="A29" t="s">
        <v>407</v>
      </c>
      <c r="B29" t="s">
        <v>43</v>
      </c>
      <c r="C29" t="s">
        <v>122</v>
      </c>
      <c r="D29">
        <v>58</v>
      </c>
      <c r="E29" t="s">
        <v>376</v>
      </c>
    </row>
    <row r="30" spans="1:5" x14ac:dyDescent="0.2">
      <c r="A30" t="s">
        <v>408</v>
      </c>
      <c r="B30" t="s">
        <v>79</v>
      </c>
      <c r="C30" t="s">
        <v>122</v>
      </c>
      <c r="D30">
        <v>50</v>
      </c>
      <c r="E30" t="s">
        <v>376</v>
      </c>
    </row>
    <row r="31" spans="1:5" x14ac:dyDescent="0.2">
      <c r="A31" t="s">
        <v>409</v>
      </c>
      <c r="B31" t="s">
        <v>77</v>
      </c>
      <c r="C31" t="s">
        <v>122</v>
      </c>
      <c r="D31">
        <v>16</v>
      </c>
      <c r="E31" t="s">
        <v>376</v>
      </c>
    </row>
    <row r="32" spans="1:5" x14ac:dyDescent="0.2">
      <c r="A32" t="s">
        <v>410</v>
      </c>
      <c r="B32" t="s">
        <v>49</v>
      </c>
      <c r="C32" t="s">
        <v>411</v>
      </c>
      <c r="D32">
        <v>50</v>
      </c>
      <c r="E32" t="s">
        <v>378</v>
      </c>
    </row>
    <row r="33" spans="1:5" x14ac:dyDescent="0.2">
      <c r="A33" t="s">
        <v>412</v>
      </c>
      <c r="B33" t="s">
        <v>58</v>
      </c>
      <c r="C33" t="s">
        <v>126</v>
      </c>
      <c r="D33">
        <v>8</v>
      </c>
      <c r="E33" t="s">
        <v>376</v>
      </c>
    </row>
    <row r="34" spans="1:5" x14ac:dyDescent="0.2">
      <c r="A34" t="s">
        <v>413</v>
      </c>
      <c r="B34" t="s">
        <v>27</v>
      </c>
      <c r="C34" t="s">
        <v>414</v>
      </c>
      <c r="D34">
        <v>39</v>
      </c>
      <c r="E34" t="s">
        <v>372</v>
      </c>
    </row>
    <row r="35" spans="1:5" x14ac:dyDescent="0.2">
      <c r="A35" t="s">
        <v>415</v>
      </c>
      <c r="B35" t="s">
        <v>13</v>
      </c>
      <c r="C35" t="s">
        <v>416</v>
      </c>
      <c r="D35">
        <v>10</v>
      </c>
      <c r="E35" t="s">
        <v>378</v>
      </c>
    </row>
    <row r="36" spans="1:5" x14ac:dyDescent="0.2">
      <c r="A36" t="s">
        <v>417</v>
      </c>
      <c r="B36" t="s">
        <v>77</v>
      </c>
      <c r="C36" t="s">
        <v>416</v>
      </c>
      <c r="D36">
        <v>42</v>
      </c>
      <c r="E36" t="s">
        <v>387</v>
      </c>
    </row>
    <row r="37" spans="1:5" x14ac:dyDescent="0.2">
      <c r="A37" t="s">
        <v>418</v>
      </c>
      <c r="B37" t="s">
        <v>49</v>
      </c>
      <c r="C37" t="s">
        <v>416</v>
      </c>
      <c r="D37">
        <v>48</v>
      </c>
      <c r="E37" t="s">
        <v>404</v>
      </c>
    </row>
    <row r="38" spans="1:5" x14ac:dyDescent="0.2">
      <c r="A38" t="s">
        <v>419</v>
      </c>
      <c r="B38" t="s">
        <v>31</v>
      </c>
      <c r="C38" t="s">
        <v>416</v>
      </c>
      <c r="D38">
        <v>7</v>
      </c>
      <c r="E38" t="s">
        <v>376</v>
      </c>
    </row>
    <row r="39" spans="1:5" x14ac:dyDescent="0.2">
      <c r="A39" t="s">
        <v>420</v>
      </c>
      <c r="B39" t="s">
        <v>63</v>
      </c>
      <c r="C39" t="s">
        <v>129</v>
      </c>
      <c r="D39">
        <v>57</v>
      </c>
      <c r="E39" t="s">
        <v>378</v>
      </c>
    </row>
    <row r="40" spans="1:5" x14ac:dyDescent="0.2">
      <c r="A40" t="s">
        <v>421</v>
      </c>
      <c r="B40" t="s">
        <v>25</v>
      </c>
      <c r="C40" t="s">
        <v>129</v>
      </c>
      <c r="D40">
        <v>25</v>
      </c>
      <c r="E40" t="s">
        <v>387</v>
      </c>
    </row>
    <row r="41" spans="1:5" x14ac:dyDescent="0.2">
      <c r="A41" t="s">
        <v>422</v>
      </c>
      <c r="B41" t="s">
        <v>18</v>
      </c>
      <c r="C41" t="s">
        <v>129</v>
      </c>
      <c r="D41">
        <v>36</v>
      </c>
      <c r="E41" t="s">
        <v>372</v>
      </c>
    </row>
    <row r="42" spans="1:5" x14ac:dyDescent="0.2">
      <c r="A42" t="s">
        <v>423</v>
      </c>
      <c r="B42" t="s">
        <v>83</v>
      </c>
      <c r="C42" t="s">
        <v>129</v>
      </c>
      <c r="D42">
        <v>8</v>
      </c>
      <c r="E42" t="s">
        <v>372</v>
      </c>
    </row>
    <row r="43" spans="1:5" x14ac:dyDescent="0.2">
      <c r="A43" t="s">
        <v>424</v>
      </c>
      <c r="B43" t="s">
        <v>31</v>
      </c>
      <c r="C43" t="s">
        <v>131</v>
      </c>
      <c r="D43">
        <v>54</v>
      </c>
      <c r="E43" t="s">
        <v>372</v>
      </c>
    </row>
    <row r="44" spans="1:5" x14ac:dyDescent="0.2">
      <c r="A44" t="s">
        <v>425</v>
      </c>
      <c r="B44" t="s">
        <v>47</v>
      </c>
      <c r="C44" t="s">
        <v>133</v>
      </c>
      <c r="D44">
        <v>43</v>
      </c>
      <c r="E44" t="s">
        <v>404</v>
      </c>
    </row>
    <row r="45" spans="1:5" x14ac:dyDescent="0.2">
      <c r="A45" t="s">
        <v>426</v>
      </c>
      <c r="B45" t="s">
        <v>54</v>
      </c>
      <c r="C45" t="s">
        <v>427</v>
      </c>
      <c r="D45">
        <v>8</v>
      </c>
      <c r="E45" t="s">
        <v>387</v>
      </c>
    </row>
    <row r="46" spans="1:5" x14ac:dyDescent="0.2">
      <c r="A46" t="s">
        <v>428</v>
      </c>
      <c r="B46" t="s">
        <v>58</v>
      </c>
      <c r="C46" t="s">
        <v>429</v>
      </c>
      <c r="D46">
        <v>36</v>
      </c>
      <c r="E46" t="s">
        <v>378</v>
      </c>
    </row>
    <row r="47" spans="1:5" x14ac:dyDescent="0.2">
      <c r="A47" t="s">
        <v>430</v>
      </c>
      <c r="B47" t="s">
        <v>29</v>
      </c>
      <c r="C47" t="s">
        <v>135</v>
      </c>
      <c r="D47">
        <v>38</v>
      </c>
      <c r="E47" t="s">
        <v>387</v>
      </c>
    </row>
    <row r="48" spans="1:5" x14ac:dyDescent="0.2">
      <c r="A48" t="s">
        <v>431</v>
      </c>
      <c r="B48" t="s">
        <v>18</v>
      </c>
      <c r="C48" t="s">
        <v>137</v>
      </c>
      <c r="D48">
        <v>50</v>
      </c>
      <c r="E48" t="s">
        <v>376</v>
      </c>
    </row>
    <row r="49" spans="1:5" x14ac:dyDescent="0.2">
      <c r="A49" t="s">
        <v>432</v>
      </c>
      <c r="B49" t="s">
        <v>13</v>
      </c>
      <c r="C49" t="s">
        <v>137</v>
      </c>
      <c r="D49">
        <v>10</v>
      </c>
      <c r="E49" t="s">
        <v>374</v>
      </c>
    </row>
    <row r="50" spans="1:5" x14ac:dyDescent="0.2">
      <c r="A50" t="s">
        <v>433</v>
      </c>
      <c r="B50" t="s">
        <v>67</v>
      </c>
      <c r="C50" t="s">
        <v>137</v>
      </c>
      <c r="D50">
        <v>34</v>
      </c>
      <c r="E50" t="s">
        <v>387</v>
      </c>
    </row>
    <row r="51" spans="1:5" x14ac:dyDescent="0.2">
      <c r="A51" t="s">
        <v>434</v>
      </c>
      <c r="B51" t="s">
        <v>38</v>
      </c>
      <c r="C51" t="s">
        <v>137</v>
      </c>
      <c r="D51">
        <v>51</v>
      </c>
      <c r="E51" t="s">
        <v>378</v>
      </c>
    </row>
    <row r="52" spans="1:5" x14ac:dyDescent="0.2">
      <c r="A52" t="s">
        <v>435</v>
      </c>
      <c r="B52" t="s">
        <v>10</v>
      </c>
      <c r="C52" t="s">
        <v>436</v>
      </c>
      <c r="D52">
        <v>52</v>
      </c>
      <c r="E52" t="s">
        <v>404</v>
      </c>
    </row>
    <row r="53" spans="1:5" x14ac:dyDescent="0.2">
      <c r="A53" t="s">
        <v>437</v>
      </c>
      <c r="B53" t="s">
        <v>72</v>
      </c>
      <c r="C53" t="s">
        <v>143</v>
      </c>
      <c r="D53">
        <v>5</v>
      </c>
      <c r="E53" t="s">
        <v>376</v>
      </c>
    </row>
    <row r="54" spans="1:5" x14ac:dyDescent="0.2">
      <c r="A54" t="s">
        <v>438</v>
      </c>
      <c r="B54" t="s">
        <v>35</v>
      </c>
      <c r="C54" t="s">
        <v>145</v>
      </c>
      <c r="D54">
        <v>31</v>
      </c>
      <c r="E54" t="s">
        <v>387</v>
      </c>
    </row>
    <row r="55" spans="1:5" x14ac:dyDescent="0.2">
      <c r="A55" t="s">
        <v>439</v>
      </c>
      <c r="B55" t="s">
        <v>13</v>
      </c>
      <c r="C55" t="s">
        <v>145</v>
      </c>
      <c r="D55">
        <v>40</v>
      </c>
      <c r="E55" t="s">
        <v>404</v>
      </c>
    </row>
    <row r="56" spans="1:5" x14ac:dyDescent="0.2">
      <c r="A56" t="s">
        <v>440</v>
      </c>
      <c r="B56" t="s">
        <v>49</v>
      </c>
      <c r="C56" t="s">
        <v>149</v>
      </c>
      <c r="D56">
        <v>37</v>
      </c>
      <c r="E56" t="s">
        <v>404</v>
      </c>
    </row>
    <row r="57" spans="1:5" x14ac:dyDescent="0.2">
      <c r="A57" t="s">
        <v>441</v>
      </c>
      <c r="B57" t="s">
        <v>47</v>
      </c>
      <c r="C57" t="s">
        <v>149</v>
      </c>
      <c r="D57">
        <v>12</v>
      </c>
      <c r="E57" t="s">
        <v>387</v>
      </c>
    </row>
    <row r="58" spans="1:5" x14ac:dyDescent="0.2">
      <c r="A58" t="s">
        <v>442</v>
      </c>
      <c r="B58" t="s">
        <v>56</v>
      </c>
      <c r="C58" t="s">
        <v>149</v>
      </c>
      <c r="D58">
        <v>57</v>
      </c>
      <c r="E58" t="s">
        <v>387</v>
      </c>
    </row>
    <row r="59" spans="1:5" x14ac:dyDescent="0.2">
      <c r="A59" t="s">
        <v>443</v>
      </c>
      <c r="B59" t="s">
        <v>6</v>
      </c>
      <c r="C59" t="s">
        <v>149</v>
      </c>
      <c r="D59">
        <v>28</v>
      </c>
      <c r="E59" t="s">
        <v>372</v>
      </c>
    </row>
    <row r="60" spans="1:5" x14ac:dyDescent="0.2">
      <c r="A60" t="s">
        <v>444</v>
      </c>
      <c r="B60" t="s">
        <v>47</v>
      </c>
      <c r="C60" t="s">
        <v>152</v>
      </c>
      <c r="D60">
        <v>56</v>
      </c>
      <c r="E60" t="s">
        <v>376</v>
      </c>
    </row>
    <row r="61" spans="1:5" x14ac:dyDescent="0.2">
      <c r="A61" t="s">
        <v>445</v>
      </c>
      <c r="B61" t="s">
        <v>60</v>
      </c>
      <c r="C61" t="s">
        <v>152</v>
      </c>
      <c r="D61">
        <v>48</v>
      </c>
      <c r="E61" t="s">
        <v>378</v>
      </c>
    </row>
    <row r="62" spans="1:5" x14ac:dyDescent="0.2">
      <c r="A62" t="s">
        <v>446</v>
      </c>
      <c r="B62" t="s">
        <v>31</v>
      </c>
      <c r="C62" t="s">
        <v>158</v>
      </c>
      <c r="D62">
        <v>25</v>
      </c>
      <c r="E62" t="s">
        <v>404</v>
      </c>
    </row>
    <row r="63" spans="1:5" x14ac:dyDescent="0.2">
      <c r="A63" t="s">
        <v>447</v>
      </c>
      <c r="B63" t="s">
        <v>27</v>
      </c>
      <c r="C63" t="s">
        <v>162</v>
      </c>
      <c r="D63">
        <v>38</v>
      </c>
      <c r="E63" t="s">
        <v>387</v>
      </c>
    </row>
    <row r="64" spans="1:5" x14ac:dyDescent="0.2">
      <c r="A64" t="s">
        <v>448</v>
      </c>
      <c r="B64" t="s">
        <v>45</v>
      </c>
      <c r="C64" t="s">
        <v>164</v>
      </c>
      <c r="D64">
        <v>16</v>
      </c>
      <c r="E64" t="s">
        <v>374</v>
      </c>
    </row>
    <row r="65" spans="1:5" x14ac:dyDescent="0.2">
      <c r="A65" t="s">
        <v>449</v>
      </c>
      <c r="B65" t="s">
        <v>58</v>
      </c>
      <c r="C65" t="s">
        <v>164</v>
      </c>
      <c r="D65">
        <v>27</v>
      </c>
      <c r="E65" t="s">
        <v>404</v>
      </c>
    </row>
    <row r="66" spans="1:5" x14ac:dyDescent="0.2">
      <c r="A66" t="s">
        <v>450</v>
      </c>
      <c r="B66" t="s">
        <v>20</v>
      </c>
      <c r="C66" t="s">
        <v>164</v>
      </c>
      <c r="D66">
        <v>20</v>
      </c>
      <c r="E66" t="s">
        <v>372</v>
      </c>
    </row>
    <row r="67" spans="1:5" x14ac:dyDescent="0.2">
      <c r="A67" t="s">
        <v>451</v>
      </c>
      <c r="B67" t="s">
        <v>29</v>
      </c>
      <c r="C67" t="s">
        <v>166</v>
      </c>
      <c r="D67">
        <v>21</v>
      </c>
      <c r="E67" t="s">
        <v>374</v>
      </c>
    </row>
    <row r="68" spans="1:5" x14ac:dyDescent="0.2">
      <c r="A68" t="s">
        <v>452</v>
      </c>
      <c r="B68" t="s">
        <v>13</v>
      </c>
      <c r="C68" t="s">
        <v>168</v>
      </c>
      <c r="D68">
        <v>36</v>
      </c>
      <c r="E68" t="s">
        <v>374</v>
      </c>
    </row>
    <row r="69" spans="1:5" x14ac:dyDescent="0.2">
      <c r="A69" t="s">
        <v>453</v>
      </c>
      <c r="B69" t="s">
        <v>79</v>
      </c>
      <c r="C69" t="s">
        <v>168</v>
      </c>
      <c r="D69">
        <v>30</v>
      </c>
      <c r="E69" t="s">
        <v>374</v>
      </c>
    </row>
    <row r="70" spans="1:5" x14ac:dyDescent="0.2">
      <c r="A70" t="s">
        <v>454</v>
      </c>
      <c r="B70" t="s">
        <v>6</v>
      </c>
      <c r="C70" t="s">
        <v>170</v>
      </c>
      <c r="D70">
        <v>21</v>
      </c>
      <c r="E70" t="s">
        <v>372</v>
      </c>
    </row>
    <row r="71" spans="1:5" x14ac:dyDescent="0.2">
      <c r="A71" t="s">
        <v>455</v>
      </c>
      <c r="B71" t="s">
        <v>38</v>
      </c>
      <c r="C71" t="s">
        <v>170</v>
      </c>
      <c r="D71">
        <v>16</v>
      </c>
      <c r="E71" t="s">
        <v>376</v>
      </c>
    </row>
    <row r="72" spans="1:5" x14ac:dyDescent="0.2">
      <c r="A72" t="s">
        <v>456</v>
      </c>
      <c r="B72" t="s">
        <v>47</v>
      </c>
      <c r="C72" t="s">
        <v>170</v>
      </c>
      <c r="D72">
        <v>27</v>
      </c>
      <c r="E72" t="s">
        <v>387</v>
      </c>
    </row>
    <row r="73" spans="1:5" x14ac:dyDescent="0.2">
      <c r="A73" t="s">
        <v>457</v>
      </c>
      <c r="B73" t="s">
        <v>25</v>
      </c>
      <c r="C73" t="s">
        <v>458</v>
      </c>
      <c r="D73">
        <v>5</v>
      </c>
      <c r="E73" t="s">
        <v>376</v>
      </c>
    </row>
    <row r="74" spans="1:5" x14ac:dyDescent="0.2">
      <c r="A74" t="s">
        <v>459</v>
      </c>
      <c r="B74" t="s">
        <v>67</v>
      </c>
      <c r="C74" t="s">
        <v>458</v>
      </c>
      <c r="D74">
        <v>51</v>
      </c>
      <c r="E74" t="s">
        <v>404</v>
      </c>
    </row>
    <row r="75" spans="1:5" x14ac:dyDescent="0.2">
      <c r="A75" t="s">
        <v>460</v>
      </c>
      <c r="B75" t="s">
        <v>69</v>
      </c>
      <c r="C75" t="s">
        <v>182</v>
      </c>
      <c r="D75">
        <v>54</v>
      </c>
      <c r="E75" t="s">
        <v>378</v>
      </c>
    </row>
    <row r="76" spans="1:5" x14ac:dyDescent="0.2">
      <c r="A76" t="s">
        <v>461</v>
      </c>
      <c r="B76" t="s">
        <v>18</v>
      </c>
      <c r="C76" t="s">
        <v>187</v>
      </c>
      <c r="D76">
        <v>49</v>
      </c>
      <c r="E76" t="s">
        <v>404</v>
      </c>
    </row>
    <row r="77" spans="1:5" x14ac:dyDescent="0.2">
      <c r="A77" t="s">
        <v>462</v>
      </c>
      <c r="B77" t="s">
        <v>22</v>
      </c>
      <c r="C77" t="s">
        <v>189</v>
      </c>
      <c r="D77">
        <v>46</v>
      </c>
      <c r="E77" t="s">
        <v>387</v>
      </c>
    </row>
    <row r="78" spans="1:5" x14ac:dyDescent="0.2">
      <c r="A78" t="s">
        <v>463</v>
      </c>
      <c r="B78" t="s">
        <v>77</v>
      </c>
      <c r="C78" t="s">
        <v>189</v>
      </c>
      <c r="D78">
        <v>43</v>
      </c>
      <c r="E78" t="s">
        <v>387</v>
      </c>
    </row>
    <row r="79" spans="1:5" x14ac:dyDescent="0.2">
      <c r="A79" t="s">
        <v>464</v>
      </c>
      <c r="B79" t="s">
        <v>10</v>
      </c>
      <c r="C79" t="s">
        <v>192</v>
      </c>
      <c r="D79">
        <v>28</v>
      </c>
      <c r="E79" t="s">
        <v>374</v>
      </c>
    </row>
    <row r="80" spans="1:5" x14ac:dyDescent="0.2">
      <c r="A80" t="s">
        <v>465</v>
      </c>
      <c r="B80" t="s">
        <v>74</v>
      </c>
      <c r="C80" t="s">
        <v>192</v>
      </c>
      <c r="D80">
        <v>43</v>
      </c>
      <c r="E80" t="s">
        <v>378</v>
      </c>
    </row>
    <row r="81" spans="1:5" x14ac:dyDescent="0.2">
      <c r="A81" t="s">
        <v>466</v>
      </c>
      <c r="B81" t="s">
        <v>18</v>
      </c>
      <c r="C81" t="s">
        <v>192</v>
      </c>
      <c r="D81">
        <v>51</v>
      </c>
      <c r="E81" t="s">
        <v>372</v>
      </c>
    </row>
    <row r="82" spans="1:5" x14ac:dyDescent="0.2">
      <c r="A82" t="s">
        <v>467</v>
      </c>
      <c r="B82" t="s">
        <v>63</v>
      </c>
      <c r="C82" t="s">
        <v>468</v>
      </c>
      <c r="D82">
        <v>22</v>
      </c>
      <c r="E82" t="s">
        <v>378</v>
      </c>
    </row>
    <row r="83" spans="1:5" x14ac:dyDescent="0.2">
      <c r="A83" t="s">
        <v>469</v>
      </c>
      <c r="B83" t="s">
        <v>63</v>
      </c>
      <c r="C83" t="s">
        <v>468</v>
      </c>
      <c r="D83">
        <v>23</v>
      </c>
      <c r="E83" t="s">
        <v>376</v>
      </c>
    </row>
    <row r="84" spans="1:5" x14ac:dyDescent="0.2">
      <c r="A84" t="s">
        <v>470</v>
      </c>
      <c r="B84" t="s">
        <v>31</v>
      </c>
      <c r="C84" t="s">
        <v>468</v>
      </c>
      <c r="D84">
        <v>45</v>
      </c>
      <c r="E84" t="s">
        <v>387</v>
      </c>
    </row>
    <row r="85" spans="1:5" x14ac:dyDescent="0.2">
      <c r="A85" t="s">
        <v>471</v>
      </c>
      <c r="B85" t="s">
        <v>45</v>
      </c>
      <c r="C85" t="s">
        <v>195</v>
      </c>
      <c r="D85">
        <v>37</v>
      </c>
      <c r="E85" t="s">
        <v>404</v>
      </c>
    </row>
    <row r="86" spans="1:5" x14ac:dyDescent="0.2">
      <c r="A86" t="s">
        <v>472</v>
      </c>
      <c r="B86" t="s">
        <v>13</v>
      </c>
      <c r="C86" t="s">
        <v>195</v>
      </c>
      <c r="D86">
        <v>51</v>
      </c>
      <c r="E86" t="s">
        <v>404</v>
      </c>
    </row>
    <row r="87" spans="1:5" x14ac:dyDescent="0.2">
      <c r="A87" t="s">
        <v>473</v>
      </c>
      <c r="B87" t="s">
        <v>77</v>
      </c>
      <c r="C87" t="s">
        <v>195</v>
      </c>
      <c r="D87">
        <v>34</v>
      </c>
      <c r="E87" t="s">
        <v>404</v>
      </c>
    </row>
    <row r="88" spans="1:5" x14ac:dyDescent="0.2">
      <c r="A88" t="s">
        <v>474</v>
      </c>
      <c r="B88" t="s">
        <v>10</v>
      </c>
      <c r="C88" t="s">
        <v>198</v>
      </c>
      <c r="D88">
        <v>48</v>
      </c>
      <c r="E88" t="s">
        <v>376</v>
      </c>
    </row>
    <row r="89" spans="1:5" x14ac:dyDescent="0.2">
      <c r="A89" t="s">
        <v>475</v>
      </c>
      <c r="B89" t="s">
        <v>20</v>
      </c>
      <c r="C89" t="s">
        <v>200</v>
      </c>
      <c r="D89">
        <v>24</v>
      </c>
      <c r="E89" t="s">
        <v>372</v>
      </c>
    </row>
    <row r="90" spans="1:5" x14ac:dyDescent="0.2">
      <c r="A90" t="s">
        <v>476</v>
      </c>
      <c r="B90" t="s">
        <v>65</v>
      </c>
      <c r="C90" t="s">
        <v>203</v>
      </c>
      <c r="D90">
        <v>15</v>
      </c>
      <c r="E90" t="s">
        <v>374</v>
      </c>
    </row>
    <row r="91" spans="1:5" x14ac:dyDescent="0.2">
      <c r="A91" t="s">
        <v>477</v>
      </c>
      <c r="B91" t="s">
        <v>67</v>
      </c>
      <c r="C91" t="s">
        <v>478</v>
      </c>
      <c r="D91">
        <v>37</v>
      </c>
      <c r="E91" t="s">
        <v>378</v>
      </c>
    </row>
    <row r="92" spans="1:5" x14ac:dyDescent="0.2">
      <c r="A92" t="s">
        <v>479</v>
      </c>
      <c r="B92" t="s">
        <v>6</v>
      </c>
      <c r="C92" t="s">
        <v>478</v>
      </c>
      <c r="D92">
        <v>47</v>
      </c>
      <c r="E92" t="s">
        <v>387</v>
      </c>
    </row>
    <row r="93" spans="1:5" x14ac:dyDescent="0.2">
      <c r="A93" t="s">
        <v>480</v>
      </c>
      <c r="B93" t="s">
        <v>77</v>
      </c>
      <c r="C93" t="s">
        <v>481</v>
      </c>
      <c r="D93">
        <v>7</v>
      </c>
      <c r="E93" t="s">
        <v>372</v>
      </c>
    </row>
    <row r="94" spans="1:5" x14ac:dyDescent="0.2">
      <c r="A94" t="s">
        <v>482</v>
      </c>
      <c r="B94" t="s">
        <v>31</v>
      </c>
      <c r="C94" t="s">
        <v>213</v>
      </c>
      <c r="D94">
        <v>52</v>
      </c>
      <c r="E94" t="s">
        <v>376</v>
      </c>
    </row>
    <row r="95" spans="1:5" x14ac:dyDescent="0.2">
      <c r="A95" t="s">
        <v>483</v>
      </c>
      <c r="B95" t="s">
        <v>79</v>
      </c>
      <c r="C95" t="s">
        <v>213</v>
      </c>
      <c r="D95">
        <v>13</v>
      </c>
      <c r="E95" t="s">
        <v>376</v>
      </c>
    </row>
    <row r="96" spans="1:5" x14ac:dyDescent="0.2">
      <c r="A96" t="s">
        <v>484</v>
      </c>
      <c r="B96" t="s">
        <v>83</v>
      </c>
      <c r="C96" t="s">
        <v>485</v>
      </c>
      <c r="D96">
        <v>56</v>
      </c>
      <c r="E96" t="s">
        <v>372</v>
      </c>
    </row>
    <row r="97" spans="1:5" x14ac:dyDescent="0.2">
      <c r="A97" t="s">
        <v>486</v>
      </c>
      <c r="B97" t="s">
        <v>54</v>
      </c>
      <c r="C97" t="s">
        <v>485</v>
      </c>
      <c r="D97">
        <v>45</v>
      </c>
      <c r="E97" t="s">
        <v>387</v>
      </c>
    </row>
    <row r="98" spans="1:5" x14ac:dyDescent="0.2">
      <c r="A98" t="s">
        <v>487</v>
      </c>
      <c r="B98" t="s">
        <v>45</v>
      </c>
      <c r="C98" t="s">
        <v>485</v>
      </c>
      <c r="D98">
        <v>6</v>
      </c>
      <c r="E98" t="s">
        <v>404</v>
      </c>
    </row>
    <row r="99" spans="1:5" x14ac:dyDescent="0.2">
      <c r="A99" t="s">
        <v>488</v>
      </c>
      <c r="B99" t="s">
        <v>72</v>
      </c>
      <c r="C99" t="s">
        <v>485</v>
      </c>
      <c r="D99">
        <v>32</v>
      </c>
      <c r="E99" t="s">
        <v>374</v>
      </c>
    </row>
    <row r="100" spans="1:5" x14ac:dyDescent="0.2">
      <c r="A100" t="s">
        <v>489</v>
      </c>
      <c r="B100" t="s">
        <v>79</v>
      </c>
      <c r="C100" t="s">
        <v>490</v>
      </c>
      <c r="D100">
        <v>47</v>
      </c>
      <c r="E100" t="s">
        <v>404</v>
      </c>
    </row>
    <row r="101" spans="1:5" x14ac:dyDescent="0.2">
      <c r="A101" t="s">
        <v>491</v>
      </c>
      <c r="B101" t="s">
        <v>6</v>
      </c>
      <c r="C101" t="s">
        <v>215</v>
      </c>
      <c r="D101">
        <v>30</v>
      </c>
      <c r="E101" t="s">
        <v>376</v>
      </c>
    </row>
    <row r="102" spans="1:5" x14ac:dyDescent="0.2">
      <c r="A102" t="s">
        <v>492</v>
      </c>
      <c r="B102" t="s">
        <v>18</v>
      </c>
      <c r="C102" t="s">
        <v>215</v>
      </c>
      <c r="D102">
        <v>11</v>
      </c>
      <c r="E102" t="s">
        <v>372</v>
      </c>
    </row>
    <row r="103" spans="1:5" x14ac:dyDescent="0.2">
      <c r="A103" t="s">
        <v>493</v>
      </c>
      <c r="B103" t="s">
        <v>41</v>
      </c>
      <c r="C103" t="s">
        <v>215</v>
      </c>
      <c r="D103">
        <v>29</v>
      </c>
      <c r="E103" t="s">
        <v>378</v>
      </c>
    </row>
    <row r="104" spans="1:5" x14ac:dyDescent="0.2">
      <c r="A104" t="s">
        <v>494</v>
      </c>
      <c r="B104" t="s">
        <v>47</v>
      </c>
      <c r="C104" t="s">
        <v>215</v>
      </c>
      <c r="D104">
        <v>12</v>
      </c>
      <c r="E104" t="s">
        <v>387</v>
      </c>
    </row>
    <row r="105" spans="1:5" x14ac:dyDescent="0.2">
      <c r="A105" t="s">
        <v>495</v>
      </c>
      <c r="B105" t="s">
        <v>6</v>
      </c>
      <c r="C105" t="s">
        <v>217</v>
      </c>
      <c r="D105">
        <v>11</v>
      </c>
      <c r="E105" t="s">
        <v>376</v>
      </c>
    </row>
    <row r="106" spans="1:5" x14ac:dyDescent="0.2">
      <c r="A106" t="s">
        <v>496</v>
      </c>
      <c r="B106" t="s">
        <v>27</v>
      </c>
      <c r="C106" t="s">
        <v>219</v>
      </c>
      <c r="D106">
        <v>39</v>
      </c>
      <c r="E106" t="s">
        <v>404</v>
      </c>
    </row>
    <row r="107" spans="1:5" x14ac:dyDescent="0.2">
      <c r="A107" t="s">
        <v>497</v>
      </c>
      <c r="B107" t="s">
        <v>77</v>
      </c>
      <c r="C107" t="s">
        <v>219</v>
      </c>
      <c r="D107">
        <v>27</v>
      </c>
      <c r="E107" t="s">
        <v>376</v>
      </c>
    </row>
    <row r="108" spans="1:5" x14ac:dyDescent="0.2">
      <c r="A108" t="s">
        <v>498</v>
      </c>
      <c r="B108" t="s">
        <v>67</v>
      </c>
      <c r="C108" t="s">
        <v>219</v>
      </c>
      <c r="D108">
        <v>59</v>
      </c>
      <c r="E108" t="s">
        <v>374</v>
      </c>
    </row>
    <row r="109" spans="1:5" x14ac:dyDescent="0.2">
      <c r="A109" t="s">
        <v>499</v>
      </c>
      <c r="B109" t="s">
        <v>58</v>
      </c>
      <c r="C109" t="s">
        <v>219</v>
      </c>
      <c r="D109">
        <v>5</v>
      </c>
      <c r="E109" t="s">
        <v>378</v>
      </c>
    </row>
    <row r="110" spans="1:5" x14ac:dyDescent="0.2">
      <c r="A110" t="s">
        <v>500</v>
      </c>
      <c r="B110" t="s">
        <v>18</v>
      </c>
      <c r="C110" t="s">
        <v>222</v>
      </c>
      <c r="D110">
        <v>35</v>
      </c>
      <c r="E110" t="s">
        <v>387</v>
      </c>
    </row>
    <row r="111" spans="1:5" x14ac:dyDescent="0.2">
      <c r="A111" t="s">
        <v>501</v>
      </c>
      <c r="B111" t="s">
        <v>6</v>
      </c>
      <c r="C111" t="s">
        <v>222</v>
      </c>
      <c r="D111">
        <v>13</v>
      </c>
      <c r="E111" t="s">
        <v>378</v>
      </c>
    </row>
    <row r="112" spans="1:5" x14ac:dyDescent="0.2">
      <c r="A112" t="s">
        <v>502</v>
      </c>
      <c r="B112" t="s">
        <v>33</v>
      </c>
      <c r="C112" t="s">
        <v>225</v>
      </c>
      <c r="D112">
        <v>26</v>
      </c>
      <c r="E112" t="s">
        <v>374</v>
      </c>
    </row>
    <row r="113" spans="1:5" x14ac:dyDescent="0.2">
      <c r="A113" t="s">
        <v>503</v>
      </c>
      <c r="B113" t="s">
        <v>77</v>
      </c>
      <c r="C113" t="s">
        <v>227</v>
      </c>
      <c r="D113">
        <v>54</v>
      </c>
      <c r="E113" t="s">
        <v>372</v>
      </c>
    </row>
    <row r="114" spans="1:5" x14ac:dyDescent="0.2">
      <c r="A114" t="s">
        <v>504</v>
      </c>
      <c r="B114" t="s">
        <v>31</v>
      </c>
      <c r="C114" t="s">
        <v>230</v>
      </c>
      <c r="D114">
        <v>22</v>
      </c>
      <c r="E114" t="s">
        <v>404</v>
      </c>
    </row>
    <row r="115" spans="1:5" x14ac:dyDescent="0.2">
      <c r="A115" t="s">
        <v>505</v>
      </c>
      <c r="B115" t="s">
        <v>35</v>
      </c>
      <c r="C115" t="s">
        <v>230</v>
      </c>
      <c r="D115">
        <v>25</v>
      </c>
      <c r="E115" t="s">
        <v>404</v>
      </c>
    </row>
    <row r="116" spans="1:5" x14ac:dyDescent="0.2">
      <c r="A116" t="s">
        <v>506</v>
      </c>
      <c r="B116" t="s">
        <v>56</v>
      </c>
      <c r="C116" t="s">
        <v>230</v>
      </c>
      <c r="D116">
        <v>59</v>
      </c>
      <c r="E116" t="s">
        <v>378</v>
      </c>
    </row>
    <row r="117" spans="1:5" x14ac:dyDescent="0.2">
      <c r="A117" t="s">
        <v>507</v>
      </c>
      <c r="B117" t="s">
        <v>33</v>
      </c>
      <c r="C117" t="s">
        <v>230</v>
      </c>
      <c r="D117">
        <v>38</v>
      </c>
      <c r="E117" t="s">
        <v>387</v>
      </c>
    </row>
    <row r="118" spans="1:5" x14ac:dyDescent="0.2">
      <c r="A118" t="s">
        <v>508</v>
      </c>
      <c r="B118" t="s">
        <v>52</v>
      </c>
      <c r="C118" t="s">
        <v>234</v>
      </c>
      <c r="D118">
        <v>42</v>
      </c>
      <c r="E118" t="s">
        <v>404</v>
      </c>
    </row>
    <row r="119" spans="1:5" x14ac:dyDescent="0.2">
      <c r="A119" t="s">
        <v>509</v>
      </c>
      <c r="B119" t="s">
        <v>81</v>
      </c>
      <c r="C119" t="s">
        <v>234</v>
      </c>
      <c r="D119">
        <v>25</v>
      </c>
      <c r="E119" t="s">
        <v>372</v>
      </c>
    </row>
    <row r="120" spans="1:5" x14ac:dyDescent="0.2">
      <c r="A120" t="s">
        <v>510</v>
      </c>
      <c r="B120" t="s">
        <v>22</v>
      </c>
      <c r="C120" t="s">
        <v>239</v>
      </c>
      <c r="D120">
        <v>59</v>
      </c>
      <c r="E120" t="s">
        <v>404</v>
      </c>
    </row>
    <row r="121" spans="1:5" x14ac:dyDescent="0.2">
      <c r="A121" t="s">
        <v>511</v>
      </c>
      <c r="B121" t="s">
        <v>27</v>
      </c>
      <c r="C121" t="s">
        <v>241</v>
      </c>
      <c r="D121">
        <v>27</v>
      </c>
      <c r="E121" t="s">
        <v>378</v>
      </c>
    </row>
    <row r="122" spans="1:5" x14ac:dyDescent="0.2">
      <c r="A122" t="s">
        <v>512</v>
      </c>
      <c r="B122" t="s">
        <v>22</v>
      </c>
      <c r="C122" t="s">
        <v>243</v>
      </c>
      <c r="D122">
        <v>37</v>
      </c>
      <c r="E122" t="s">
        <v>374</v>
      </c>
    </row>
    <row r="123" spans="1:5" x14ac:dyDescent="0.2">
      <c r="A123" t="s">
        <v>513</v>
      </c>
      <c r="B123" t="s">
        <v>15</v>
      </c>
      <c r="C123" t="s">
        <v>246</v>
      </c>
      <c r="D123">
        <v>31</v>
      </c>
      <c r="E123" t="s">
        <v>374</v>
      </c>
    </row>
    <row r="124" spans="1:5" x14ac:dyDescent="0.2">
      <c r="A124" t="s">
        <v>514</v>
      </c>
      <c r="B124" t="s">
        <v>83</v>
      </c>
      <c r="C124" t="s">
        <v>248</v>
      </c>
      <c r="D124">
        <v>47</v>
      </c>
      <c r="E124" t="s">
        <v>372</v>
      </c>
    </row>
    <row r="125" spans="1:5" x14ac:dyDescent="0.2">
      <c r="A125" t="s">
        <v>515</v>
      </c>
      <c r="B125" t="s">
        <v>63</v>
      </c>
      <c r="C125" t="s">
        <v>248</v>
      </c>
      <c r="D125">
        <v>34</v>
      </c>
      <c r="E125" t="s">
        <v>374</v>
      </c>
    </row>
    <row r="126" spans="1:5" x14ac:dyDescent="0.2">
      <c r="A126" t="s">
        <v>516</v>
      </c>
      <c r="B126" t="s">
        <v>77</v>
      </c>
      <c r="C126" t="s">
        <v>248</v>
      </c>
      <c r="D126">
        <v>8</v>
      </c>
      <c r="E126" t="s">
        <v>378</v>
      </c>
    </row>
    <row r="127" spans="1:5" x14ac:dyDescent="0.2">
      <c r="A127" t="s">
        <v>517</v>
      </c>
      <c r="B127" t="s">
        <v>15</v>
      </c>
      <c r="C127" t="s">
        <v>251</v>
      </c>
      <c r="D127">
        <v>35</v>
      </c>
      <c r="E127" t="s">
        <v>404</v>
      </c>
    </row>
    <row r="128" spans="1:5" x14ac:dyDescent="0.2">
      <c r="A128" t="s">
        <v>518</v>
      </c>
      <c r="B128" t="s">
        <v>74</v>
      </c>
      <c r="C128" t="s">
        <v>251</v>
      </c>
      <c r="D128">
        <v>39</v>
      </c>
      <c r="E128" t="s">
        <v>378</v>
      </c>
    </row>
    <row r="129" spans="1:5" x14ac:dyDescent="0.2">
      <c r="A129" t="s">
        <v>519</v>
      </c>
      <c r="B129" t="s">
        <v>83</v>
      </c>
      <c r="C129" t="s">
        <v>251</v>
      </c>
      <c r="D129">
        <v>29</v>
      </c>
      <c r="E129" t="s">
        <v>372</v>
      </c>
    </row>
    <row r="130" spans="1:5" x14ac:dyDescent="0.2">
      <c r="A130" t="s">
        <v>520</v>
      </c>
      <c r="B130" t="s">
        <v>45</v>
      </c>
      <c r="C130" t="s">
        <v>521</v>
      </c>
      <c r="D130">
        <v>8</v>
      </c>
      <c r="E130" t="s">
        <v>387</v>
      </c>
    </row>
    <row r="131" spans="1:5" x14ac:dyDescent="0.2">
      <c r="A131" t="s">
        <v>522</v>
      </c>
      <c r="B131" t="s">
        <v>25</v>
      </c>
      <c r="C131" t="s">
        <v>255</v>
      </c>
      <c r="D131">
        <v>16</v>
      </c>
      <c r="E131" t="s">
        <v>387</v>
      </c>
    </row>
    <row r="132" spans="1:5" x14ac:dyDescent="0.2">
      <c r="A132" t="s">
        <v>523</v>
      </c>
      <c r="B132" t="s">
        <v>52</v>
      </c>
      <c r="C132" t="s">
        <v>255</v>
      </c>
      <c r="D132">
        <v>38</v>
      </c>
      <c r="E132" t="s">
        <v>376</v>
      </c>
    </row>
    <row r="133" spans="1:5" x14ac:dyDescent="0.2">
      <c r="A133" t="s">
        <v>524</v>
      </c>
      <c r="B133" t="s">
        <v>72</v>
      </c>
      <c r="C133" t="s">
        <v>258</v>
      </c>
      <c r="D133">
        <v>15</v>
      </c>
      <c r="E133" t="s">
        <v>404</v>
      </c>
    </row>
    <row r="134" spans="1:5" x14ac:dyDescent="0.2">
      <c r="A134" t="s">
        <v>525</v>
      </c>
      <c r="B134" t="s">
        <v>63</v>
      </c>
      <c r="C134" t="s">
        <v>258</v>
      </c>
      <c r="D134">
        <v>40</v>
      </c>
      <c r="E134" t="s">
        <v>387</v>
      </c>
    </row>
    <row r="135" spans="1:5" x14ac:dyDescent="0.2">
      <c r="A135" t="s">
        <v>526</v>
      </c>
      <c r="B135" t="s">
        <v>77</v>
      </c>
      <c r="C135" t="s">
        <v>527</v>
      </c>
      <c r="D135">
        <v>10</v>
      </c>
      <c r="E135" t="s">
        <v>404</v>
      </c>
    </row>
    <row r="136" spans="1:5" x14ac:dyDescent="0.2">
      <c r="A136" t="s">
        <v>528</v>
      </c>
      <c r="B136" t="s">
        <v>35</v>
      </c>
      <c r="C136" t="s">
        <v>527</v>
      </c>
      <c r="D136">
        <v>58</v>
      </c>
      <c r="E136" t="s">
        <v>372</v>
      </c>
    </row>
    <row r="137" spans="1:5" x14ac:dyDescent="0.2">
      <c r="A137" t="s">
        <v>529</v>
      </c>
      <c r="B137" t="s">
        <v>81</v>
      </c>
      <c r="C137" t="s">
        <v>530</v>
      </c>
      <c r="D137">
        <v>8</v>
      </c>
      <c r="E137" t="s">
        <v>372</v>
      </c>
    </row>
    <row r="138" spans="1:5" x14ac:dyDescent="0.2">
      <c r="A138" t="s">
        <v>531</v>
      </c>
      <c r="B138" t="s">
        <v>63</v>
      </c>
      <c r="C138" t="s">
        <v>530</v>
      </c>
      <c r="D138">
        <v>21</v>
      </c>
      <c r="E138" t="s">
        <v>404</v>
      </c>
    </row>
    <row r="139" spans="1:5" x14ac:dyDescent="0.2">
      <c r="A139" t="s">
        <v>532</v>
      </c>
      <c r="B139" t="s">
        <v>10</v>
      </c>
      <c r="C139" t="s">
        <v>530</v>
      </c>
      <c r="D139">
        <v>40</v>
      </c>
      <c r="E139" t="s">
        <v>387</v>
      </c>
    </row>
    <row r="140" spans="1:5" x14ac:dyDescent="0.2">
      <c r="A140" t="s">
        <v>533</v>
      </c>
      <c r="B140" t="s">
        <v>35</v>
      </c>
      <c r="C140" t="s">
        <v>534</v>
      </c>
      <c r="D140">
        <v>8</v>
      </c>
      <c r="E140" t="s">
        <v>404</v>
      </c>
    </row>
    <row r="141" spans="1:5" x14ac:dyDescent="0.2">
      <c r="A141" t="s">
        <v>535</v>
      </c>
      <c r="B141" t="s">
        <v>38</v>
      </c>
      <c r="C141" t="s">
        <v>534</v>
      </c>
      <c r="D141">
        <v>43</v>
      </c>
      <c r="E141" t="s">
        <v>404</v>
      </c>
    </row>
    <row r="142" spans="1:5" x14ac:dyDescent="0.2">
      <c r="A142" t="s">
        <v>536</v>
      </c>
      <c r="B142" t="s">
        <v>54</v>
      </c>
      <c r="C142" t="s">
        <v>534</v>
      </c>
      <c r="D142">
        <v>45</v>
      </c>
      <c r="E142" t="s">
        <v>376</v>
      </c>
    </row>
    <row r="143" spans="1:5" x14ac:dyDescent="0.2">
      <c r="A143" t="s">
        <v>537</v>
      </c>
      <c r="B143" t="s">
        <v>49</v>
      </c>
      <c r="C143" t="s">
        <v>264</v>
      </c>
      <c r="D143">
        <v>8</v>
      </c>
      <c r="E143" t="s">
        <v>404</v>
      </c>
    </row>
    <row r="144" spans="1:5" x14ac:dyDescent="0.2">
      <c r="A144" t="s">
        <v>538</v>
      </c>
      <c r="B144" t="s">
        <v>22</v>
      </c>
      <c r="C144" t="s">
        <v>264</v>
      </c>
      <c r="D144">
        <v>27</v>
      </c>
      <c r="E144" t="s">
        <v>372</v>
      </c>
    </row>
    <row r="145" spans="1:5" x14ac:dyDescent="0.2">
      <c r="A145" t="s">
        <v>539</v>
      </c>
      <c r="B145" t="s">
        <v>77</v>
      </c>
      <c r="C145" t="s">
        <v>268</v>
      </c>
      <c r="D145">
        <v>14</v>
      </c>
      <c r="E145" t="s">
        <v>374</v>
      </c>
    </row>
    <row r="146" spans="1:5" x14ac:dyDescent="0.2">
      <c r="A146" t="s">
        <v>540</v>
      </c>
      <c r="B146" t="s">
        <v>63</v>
      </c>
      <c r="C146" t="s">
        <v>268</v>
      </c>
      <c r="D146">
        <v>53</v>
      </c>
      <c r="E146" t="s">
        <v>404</v>
      </c>
    </row>
    <row r="147" spans="1:5" x14ac:dyDescent="0.2">
      <c r="A147" t="s">
        <v>541</v>
      </c>
      <c r="B147" t="s">
        <v>22</v>
      </c>
      <c r="C147" t="s">
        <v>271</v>
      </c>
      <c r="D147">
        <v>34</v>
      </c>
      <c r="E147" t="s">
        <v>376</v>
      </c>
    </row>
    <row r="148" spans="1:5" x14ac:dyDescent="0.2">
      <c r="A148" t="s">
        <v>542</v>
      </c>
      <c r="B148" t="s">
        <v>79</v>
      </c>
      <c r="C148" t="s">
        <v>543</v>
      </c>
      <c r="D148">
        <v>19</v>
      </c>
      <c r="E148" t="s">
        <v>372</v>
      </c>
    </row>
    <row r="149" spans="1:5" x14ac:dyDescent="0.2">
      <c r="A149" t="s">
        <v>544</v>
      </c>
      <c r="B149" t="s">
        <v>27</v>
      </c>
      <c r="C149" t="s">
        <v>543</v>
      </c>
      <c r="D149">
        <v>41</v>
      </c>
      <c r="E149" t="s">
        <v>404</v>
      </c>
    </row>
    <row r="150" spans="1:5" x14ac:dyDescent="0.2">
      <c r="A150" t="s">
        <v>545</v>
      </c>
      <c r="B150" t="s">
        <v>56</v>
      </c>
      <c r="C150" t="s">
        <v>543</v>
      </c>
      <c r="D150">
        <v>10</v>
      </c>
      <c r="E150" t="s">
        <v>374</v>
      </c>
    </row>
    <row r="151" spans="1:5" x14ac:dyDescent="0.2">
      <c r="A151" t="s">
        <v>546</v>
      </c>
      <c r="B151" t="s">
        <v>31</v>
      </c>
      <c r="C151" t="s">
        <v>275</v>
      </c>
      <c r="D151">
        <v>37</v>
      </c>
      <c r="E151" t="s">
        <v>378</v>
      </c>
    </row>
    <row r="152" spans="1:5" x14ac:dyDescent="0.2">
      <c r="A152" t="s">
        <v>547</v>
      </c>
      <c r="B152" t="s">
        <v>83</v>
      </c>
      <c r="C152" t="s">
        <v>279</v>
      </c>
      <c r="D152">
        <v>26</v>
      </c>
      <c r="E152" t="s">
        <v>374</v>
      </c>
    </row>
    <row r="153" spans="1:5" x14ac:dyDescent="0.2">
      <c r="A153" t="s">
        <v>548</v>
      </c>
      <c r="B153" t="s">
        <v>45</v>
      </c>
      <c r="C153" t="s">
        <v>279</v>
      </c>
      <c r="D153">
        <v>8</v>
      </c>
      <c r="E153" t="s">
        <v>378</v>
      </c>
    </row>
    <row r="154" spans="1:5" x14ac:dyDescent="0.2">
      <c r="A154" t="s">
        <v>549</v>
      </c>
      <c r="B154" t="s">
        <v>54</v>
      </c>
      <c r="C154" t="s">
        <v>284</v>
      </c>
      <c r="D154">
        <v>52</v>
      </c>
      <c r="E154" t="s">
        <v>376</v>
      </c>
    </row>
    <row r="155" spans="1:5" x14ac:dyDescent="0.2">
      <c r="A155" t="s">
        <v>550</v>
      </c>
      <c r="B155" t="s">
        <v>29</v>
      </c>
      <c r="C155" t="s">
        <v>284</v>
      </c>
      <c r="D155">
        <v>42</v>
      </c>
      <c r="E155" t="s">
        <v>378</v>
      </c>
    </row>
    <row r="156" spans="1:5" x14ac:dyDescent="0.2">
      <c r="A156" t="s">
        <v>551</v>
      </c>
      <c r="B156" t="s">
        <v>43</v>
      </c>
      <c r="C156" t="s">
        <v>552</v>
      </c>
      <c r="D156">
        <v>20</v>
      </c>
      <c r="E156" t="s">
        <v>372</v>
      </c>
    </row>
    <row r="157" spans="1:5" x14ac:dyDescent="0.2">
      <c r="A157" t="s">
        <v>553</v>
      </c>
      <c r="B157" t="s">
        <v>13</v>
      </c>
      <c r="C157" t="s">
        <v>552</v>
      </c>
      <c r="D157">
        <v>22</v>
      </c>
      <c r="E157" t="s">
        <v>387</v>
      </c>
    </row>
    <row r="158" spans="1:5" x14ac:dyDescent="0.2">
      <c r="A158" t="s">
        <v>554</v>
      </c>
      <c r="B158" t="s">
        <v>74</v>
      </c>
      <c r="C158" t="s">
        <v>555</v>
      </c>
      <c r="D158">
        <v>41</v>
      </c>
      <c r="E158" t="s">
        <v>378</v>
      </c>
    </row>
    <row r="159" spans="1:5" x14ac:dyDescent="0.2">
      <c r="A159" t="s">
        <v>556</v>
      </c>
      <c r="B159" t="s">
        <v>6</v>
      </c>
      <c r="C159" t="s">
        <v>555</v>
      </c>
      <c r="D159">
        <v>35</v>
      </c>
      <c r="E159" t="s">
        <v>376</v>
      </c>
    </row>
    <row r="160" spans="1:5" x14ac:dyDescent="0.2">
      <c r="A160" t="s">
        <v>557</v>
      </c>
      <c r="B160" t="s">
        <v>81</v>
      </c>
      <c r="C160" t="s">
        <v>555</v>
      </c>
      <c r="D160">
        <v>15</v>
      </c>
      <c r="E160" t="s">
        <v>374</v>
      </c>
    </row>
    <row r="161" spans="1:5" x14ac:dyDescent="0.2">
      <c r="A161" t="s">
        <v>558</v>
      </c>
      <c r="B161" t="s">
        <v>56</v>
      </c>
      <c r="C161" t="s">
        <v>559</v>
      </c>
      <c r="D161">
        <v>48</v>
      </c>
      <c r="E161" t="s">
        <v>378</v>
      </c>
    </row>
    <row r="162" spans="1:5" x14ac:dyDescent="0.2">
      <c r="A162" t="s">
        <v>560</v>
      </c>
      <c r="B162" t="s">
        <v>63</v>
      </c>
      <c r="C162" t="s">
        <v>287</v>
      </c>
      <c r="D162">
        <v>5</v>
      </c>
      <c r="E162" t="s">
        <v>378</v>
      </c>
    </row>
    <row r="163" spans="1:5" x14ac:dyDescent="0.2">
      <c r="A163" t="s">
        <v>561</v>
      </c>
      <c r="B163" t="s">
        <v>10</v>
      </c>
      <c r="C163" t="s">
        <v>289</v>
      </c>
      <c r="D163">
        <v>52</v>
      </c>
      <c r="E163" t="s">
        <v>387</v>
      </c>
    </row>
    <row r="164" spans="1:5" x14ac:dyDescent="0.2">
      <c r="A164" t="s">
        <v>562</v>
      </c>
      <c r="B164" t="s">
        <v>13</v>
      </c>
      <c r="C164" t="s">
        <v>292</v>
      </c>
      <c r="D164">
        <v>9</v>
      </c>
      <c r="E164" t="s">
        <v>387</v>
      </c>
    </row>
    <row r="165" spans="1:5" x14ac:dyDescent="0.2">
      <c r="A165" t="s">
        <v>563</v>
      </c>
      <c r="B165" t="s">
        <v>72</v>
      </c>
      <c r="C165" t="s">
        <v>292</v>
      </c>
      <c r="D165">
        <v>6</v>
      </c>
      <c r="E165" t="s">
        <v>404</v>
      </c>
    </row>
    <row r="166" spans="1:5" x14ac:dyDescent="0.2">
      <c r="A166" t="s">
        <v>564</v>
      </c>
      <c r="B166" t="s">
        <v>43</v>
      </c>
      <c r="C166" t="s">
        <v>294</v>
      </c>
      <c r="D166">
        <v>10</v>
      </c>
      <c r="E166" t="s">
        <v>372</v>
      </c>
    </row>
    <row r="167" spans="1:5" x14ac:dyDescent="0.2">
      <c r="A167" t="s">
        <v>565</v>
      </c>
      <c r="B167" t="s">
        <v>65</v>
      </c>
      <c r="C167" t="s">
        <v>297</v>
      </c>
      <c r="D167">
        <v>15</v>
      </c>
      <c r="E167" t="s">
        <v>378</v>
      </c>
    </row>
    <row r="168" spans="1:5" x14ac:dyDescent="0.2">
      <c r="A168" t="s">
        <v>566</v>
      </c>
      <c r="B168" t="s">
        <v>18</v>
      </c>
      <c r="C168" t="s">
        <v>297</v>
      </c>
      <c r="D168">
        <v>53</v>
      </c>
      <c r="E168" t="s">
        <v>374</v>
      </c>
    </row>
    <row r="169" spans="1:5" x14ac:dyDescent="0.2">
      <c r="A169" t="s">
        <v>567</v>
      </c>
      <c r="B169" t="s">
        <v>58</v>
      </c>
      <c r="C169" t="s">
        <v>303</v>
      </c>
      <c r="D169">
        <v>34</v>
      </c>
      <c r="E169" t="s">
        <v>387</v>
      </c>
    </row>
    <row r="170" spans="1:5" x14ac:dyDescent="0.2">
      <c r="A170" t="s">
        <v>568</v>
      </c>
      <c r="B170" t="s">
        <v>77</v>
      </c>
      <c r="C170" t="s">
        <v>308</v>
      </c>
      <c r="D170">
        <v>25</v>
      </c>
      <c r="E170" t="s">
        <v>372</v>
      </c>
    </row>
    <row r="171" spans="1:5" x14ac:dyDescent="0.2">
      <c r="A171" t="s">
        <v>569</v>
      </c>
      <c r="B171" t="s">
        <v>13</v>
      </c>
      <c r="C171" t="s">
        <v>308</v>
      </c>
      <c r="D171">
        <v>28</v>
      </c>
      <c r="E171" t="s">
        <v>374</v>
      </c>
    </row>
    <row r="172" spans="1:5" x14ac:dyDescent="0.2">
      <c r="A172" t="s">
        <v>570</v>
      </c>
      <c r="B172" t="s">
        <v>65</v>
      </c>
      <c r="C172" t="s">
        <v>308</v>
      </c>
      <c r="D172">
        <v>7</v>
      </c>
      <c r="E172" t="s">
        <v>374</v>
      </c>
    </row>
    <row r="173" spans="1:5" x14ac:dyDescent="0.2">
      <c r="A173" t="s">
        <v>571</v>
      </c>
      <c r="B173" t="s">
        <v>43</v>
      </c>
      <c r="C173" t="s">
        <v>311</v>
      </c>
      <c r="D173">
        <v>31</v>
      </c>
      <c r="E173" t="s">
        <v>374</v>
      </c>
    </row>
    <row r="174" spans="1:5" x14ac:dyDescent="0.2">
      <c r="A174" t="s">
        <v>572</v>
      </c>
      <c r="B174" t="s">
        <v>27</v>
      </c>
      <c r="C174" t="s">
        <v>311</v>
      </c>
      <c r="D174">
        <v>43</v>
      </c>
      <c r="E174" t="s">
        <v>404</v>
      </c>
    </row>
    <row r="175" spans="1:5" x14ac:dyDescent="0.2">
      <c r="A175" t="s">
        <v>573</v>
      </c>
      <c r="B175" t="s">
        <v>77</v>
      </c>
      <c r="C175" t="s">
        <v>317</v>
      </c>
      <c r="D175">
        <v>50</v>
      </c>
      <c r="E175" t="s">
        <v>372</v>
      </c>
    </row>
    <row r="176" spans="1:5" x14ac:dyDescent="0.2">
      <c r="A176" t="s">
        <v>574</v>
      </c>
      <c r="B176" t="s">
        <v>52</v>
      </c>
      <c r="C176" t="s">
        <v>317</v>
      </c>
      <c r="D176">
        <v>33</v>
      </c>
      <c r="E176" t="s">
        <v>378</v>
      </c>
    </row>
    <row r="177" spans="1:5" x14ac:dyDescent="0.2">
      <c r="A177" t="s">
        <v>575</v>
      </c>
      <c r="B177" t="s">
        <v>43</v>
      </c>
      <c r="C177" t="s">
        <v>317</v>
      </c>
      <c r="D177">
        <v>31</v>
      </c>
      <c r="E177" t="s">
        <v>376</v>
      </c>
    </row>
    <row r="178" spans="1:5" x14ac:dyDescent="0.2">
      <c r="A178" t="s">
        <v>576</v>
      </c>
      <c r="B178" t="s">
        <v>15</v>
      </c>
      <c r="C178" t="s">
        <v>577</v>
      </c>
      <c r="D178">
        <v>18</v>
      </c>
      <c r="E178" t="s">
        <v>387</v>
      </c>
    </row>
    <row r="179" spans="1:5" x14ac:dyDescent="0.2">
      <c r="A179" t="s">
        <v>578</v>
      </c>
      <c r="B179" t="s">
        <v>43</v>
      </c>
      <c r="C179" t="s">
        <v>579</v>
      </c>
      <c r="D179">
        <v>48</v>
      </c>
      <c r="E179" t="s">
        <v>378</v>
      </c>
    </row>
    <row r="180" spans="1:5" x14ac:dyDescent="0.2">
      <c r="A180" t="s">
        <v>580</v>
      </c>
      <c r="B180" t="s">
        <v>18</v>
      </c>
      <c r="C180" t="s">
        <v>322</v>
      </c>
      <c r="D180">
        <v>26</v>
      </c>
      <c r="E180" t="s">
        <v>404</v>
      </c>
    </row>
    <row r="181" spans="1:5" x14ac:dyDescent="0.2">
      <c r="A181" t="s">
        <v>581</v>
      </c>
      <c r="B181" t="s">
        <v>49</v>
      </c>
      <c r="C181" t="s">
        <v>327</v>
      </c>
      <c r="D181">
        <v>6</v>
      </c>
      <c r="E181" t="s">
        <v>404</v>
      </c>
    </row>
    <row r="182" spans="1:5" x14ac:dyDescent="0.2">
      <c r="A182" t="s">
        <v>582</v>
      </c>
      <c r="B182" t="s">
        <v>22</v>
      </c>
      <c r="C182" t="s">
        <v>327</v>
      </c>
      <c r="D182">
        <v>54</v>
      </c>
      <c r="E182" t="s">
        <v>378</v>
      </c>
    </row>
    <row r="183" spans="1:5" x14ac:dyDescent="0.2">
      <c r="A183" t="s">
        <v>583</v>
      </c>
      <c r="B183" t="s">
        <v>74</v>
      </c>
      <c r="C183" t="s">
        <v>327</v>
      </c>
      <c r="D183">
        <v>27</v>
      </c>
      <c r="E183" t="s">
        <v>378</v>
      </c>
    </row>
    <row r="184" spans="1:5" x14ac:dyDescent="0.2">
      <c r="A184" t="s">
        <v>584</v>
      </c>
      <c r="B184" t="s">
        <v>22</v>
      </c>
      <c r="C184" t="s">
        <v>327</v>
      </c>
      <c r="D184">
        <v>33</v>
      </c>
      <c r="E184" t="s">
        <v>372</v>
      </c>
    </row>
    <row r="185" spans="1:5" x14ac:dyDescent="0.2">
      <c r="A185" t="s">
        <v>585</v>
      </c>
      <c r="B185" t="s">
        <v>35</v>
      </c>
      <c r="C185" t="s">
        <v>327</v>
      </c>
      <c r="D185">
        <v>10</v>
      </c>
      <c r="E185" t="s">
        <v>372</v>
      </c>
    </row>
    <row r="186" spans="1:5" x14ac:dyDescent="0.2">
      <c r="A186" t="s">
        <v>586</v>
      </c>
      <c r="B186" t="s">
        <v>63</v>
      </c>
      <c r="C186" t="s">
        <v>330</v>
      </c>
      <c r="D186">
        <v>55</v>
      </c>
      <c r="E186" t="s">
        <v>404</v>
      </c>
    </row>
    <row r="187" spans="1:5" x14ac:dyDescent="0.2">
      <c r="A187" t="s">
        <v>587</v>
      </c>
      <c r="B187" t="s">
        <v>67</v>
      </c>
      <c r="C187" t="s">
        <v>330</v>
      </c>
      <c r="D187">
        <v>22</v>
      </c>
      <c r="E187" t="s">
        <v>374</v>
      </c>
    </row>
    <row r="188" spans="1:5" x14ac:dyDescent="0.2">
      <c r="A188" t="s">
        <v>588</v>
      </c>
      <c r="B188" t="s">
        <v>72</v>
      </c>
      <c r="C188" t="s">
        <v>334</v>
      </c>
      <c r="D188">
        <v>22</v>
      </c>
      <c r="E188" t="s">
        <v>376</v>
      </c>
    </row>
    <row r="189" spans="1:5" x14ac:dyDescent="0.2">
      <c r="A189" t="s">
        <v>589</v>
      </c>
      <c r="B189" t="s">
        <v>27</v>
      </c>
      <c r="C189" t="s">
        <v>334</v>
      </c>
      <c r="D189">
        <v>40</v>
      </c>
      <c r="E189" t="s">
        <v>376</v>
      </c>
    </row>
    <row r="190" spans="1:5" x14ac:dyDescent="0.2">
      <c r="A190" t="s">
        <v>590</v>
      </c>
      <c r="B190" t="s">
        <v>63</v>
      </c>
      <c r="C190" t="s">
        <v>337</v>
      </c>
      <c r="D190">
        <v>43</v>
      </c>
      <c r="E190" t="s">
        <v>372</v>
      </c>
    </row>
    <row r="191" spans="1:5" x14ac:dyDescent="0.2">
      <c r="A191" t="s">
        <v>591</v>
      </c>
      <c r="B191" t="s">
        <v>67</v>
      </c>
      <c r="C191" t="s">
        <v>342</v>
      </c>
      <c r="D191">
        <v>51</v>
      </c>
      <c r="E191" t="s">
        <v>378</v>
      </c>
    </row>
    <row r="192" spans="1:5" x14ac:dyDescent="0.2">
      <c r="A192" t="s">
        <v>592</v>
      </c>
      <c r="B192" t="s">
        <v>38</v>
      </c>
      <c r="C192" t="s">
        <v>342</v>
      </c>
      <c r="D192">
        <v>33</v>
      </c>
      <c r="E192" t="s">
        <v>378</v>
      </c>
    </row>
    <row r="193" spans="1:5" x14ac:dyDescent="0.2">
      <c r="A193" t="s">
        <v>593</v>
      </c>
      <c r="B193" t="s">
        <v>56</v>
      </c>
      <c r="C193" t="s">
        <v>342</v>
      </c>
      <c r="D193">
        <v>59</v>
      </c>
      <c r="E193" t="s">
        <v>387</v>
      </c>
    </row>
    <row r="194" spans="1:5" x14ac:dyDescent="0.2">
      <c r="A194" t="s">
        <v>594</v>
      </c>
      <c r="B194" t="s">
        <v>27</v>
      </c>
      <c r="C194" t="s">
        <v>349</v>
      </c>
      <c r="D194">
        <v>30</v>
      </c>
      <c r="E194" t="s">
        <v>376</v>
      </c>
    </row>
    <row r="195" spans="1:5" x14ac:dyDescent="0.2">
      <c r="A195" t="s">
        <v>595</v>
      </c>
      <c r="B195" t="s">
        <v>69</v>
      </c>
      <c r="C195" t="s">
        <v>349</v>
      </c>
      <c r="D195">
        <v>22</v>
      </c>
      <c r="E195" t="s">
        <v>372</v>
      </c>
    </row>
    <row r="196" spans="1:5" x14ac:dyDescent="0.2">
      <c r="A196" t="s">
        <v>596</v>
      </c>
      <c r="B196" t="s">
        <v>29</v>
      </c>
      <c r="C196" t="s">
        <v>349</v>
      </c>
      <c r="D196">
        <v>15</v>
      </c>
      <c r="E196" t="s">
        <v>378</v>
      </c>
    </row>
    <row r="197" spans="1:5" x14ac:dyDescent="0.2">
      <c r="A197" t="s">
        <v>597</v>
      </c>
      <c r="B197" t="s">
        <v>65</v>
      </c>
      <c r="C197" t="s">
        <v>349</v>
      </c>
      <c r="D197">
        <v>15</v>
      </c>
      <c r="E197" t="s">
        <v>372</v>
      </c>
    </row>
    <row r="198" spans="1:5" x14ac:dyDescent="0.2">
      <c r="A198" t="s">
        <v>598</v>
      </c>
      <c r="B198" t="s">
        <v>63</v>
      </c>
      <c r="C198" t="s">
        <v>352</v>
      </c>
      <c r="D198">
        <v>56</v>
      </c>
      <c r="E198" t="s">
        <v>404</v>
      </c>
    </row>
    <row r="199" spans="1:5" x14ac:dyDescent="0.2">
      <c r="A199" t="s">
        <v>599</v>
      </c>
      <c r="B199" t="s">
        <v>22</v>
      </c>
      <c r="C199" t="s">
        <v>352</v>
      </c>
      <c r="D199">
        <v>21</v>
      </c>
      <c r="E199" t="s">
        <v>372</v>
      </c>
    </row>
    <row r="200" spans="1:5" x14ac:dyDescent="0.2">
      <c r="A200" t="s">
        <v>600</v>
      </c>
      <c r="B200" t="s">
        <v>74</v>
      </c>
      <c r="C200" t="s">
        <v>355</v>
      </c>
      <c r="D200">
        <v>37</v>
      </c>
      <c r="E200" t="s">
        <v>404</v>
      </c>
    </row>
    <row r="201" spans="1:5" x14ac:dyDescent="0.2">
      <c r="A201" t="s">
        <v>601</v>
      </c>
      <c r="B201" t="s">
        <v>65</v>
      </c>
      <c r="C201" t="s">
        <v>361</v>
      </c>
      <c r="D201">
        <v>24</v>
      </c>
      <c r="E201" t="s">
        <v>376</v>
      </c>
    </row>
    <row r="202" spans="1:5" x14ac:dyDescent="0.2">
      <c r="A202" t="s">
        <v>602</v>
      </c>
      <c r="B202" t="s">
        <v>54</v>
      </c>
      <c r="C202" t="s">
        <v>361</v>
      </c>
      <c r="D202">
        <v>46</v>
      </c>
      <c r="E202" t="s">
        <v>378</v>
      </c>
    </row>
    <row r="203" spans="1:5" x14ac:dyDescent="0.2">
      <c r="A203" t="s">
        <v>603</v>
      </c>
      <c r="B203" t="s">
        <v>45</v>
      </c>
      <c r="C203" t="s">
        <v>361</v>
      </c>
      <c r="D203">
        <v>59</v>
      </c>
      <c r="E203" t="s">
        <v>372</v>
      </c>
    </row>
    <row r="204" spans="1:5" x14ac:dyDescent="0.2">
      <c r="A204" t="s">
        <v>604</v>
      </c>
      <c r="B204" t="s">
        <v>45</v>
      </c>
      <c r="C204" t="s">
        <v>361</v>
      </c>
      <c r="D204">
        <v>7</v>
      </c>
      <c r="E204" t="s">
        <v>387</v>
      </c>
    </row>
    <row r="205" spans="1:5" x14ac:dyDescent="0.2">
      <c r="A205" t="s">
        <v>605</v>
      </c>
      <c r="B205" t="s">
        <v>56</v>
      </c>
      <c r="C205" t="s">
        <v>361</v>
      </c>
      <c r="D205">
        <v>32</v>
      </c>
      <c r="E205" t="s">
        <v>387</v>
      </c>
    </row>
    <row r="206" spans="1:5" x14ac:dyDescent="0.2">
      <c r="A206" t="s">
        <v>606</v>
      </c>
      <c r="B206" t="s">
        <v>83</v>
      </c>
      <c r="C206" t="s">
        <v>607</v>
      </c>
      <c r="D206">
        <v>10</v>
      </c>
      <c r="E206" t="s">
        <v>372</v>
      </c>
    </row>
    <row r="207" spans="1:5" x14ac:dyDescent="0.2">
      <c r="A207" t="s">
        <v>608</v>
      </c>
      <c r="B207" t="s">
        <v>22</v>
      </c>
      <c r="C207" t="s">
        <v>607</v>
      </c>
      <c r="D207">
        <v>10</v>
      </c>
      <c r="E207" t="s">
        <v>372</v>
      </c>
    </row>
    <row r="208" spans="1:5" x14ac:dyDescent="0.2">
      <c r="A208" t="s">
        <v>609</v>
      </c>
      <c r="B208" t="s">
        <v>49</v>
      </c>
      <c r="C208" t="s">
        <v>366</v>
      </c>
      <c r="D208">
        <v>16</v>
      </c>
      <c r="E208" t="s">
        <v>404</v>
      </c>
    </row>
    <row r="209" spans="1:5" x14ac:dyDescent="0.2">
      <c r="A209" t="s">
        <v>610</v>
      </c>
      <c r="B209" t="s">
        <v>81</v>
      </c>
      <c r="C209" t="s">
        <v>611</v>
      </c>
      <c r="D209">
        <v>27</v>
      </c>
      <c r="E209" t="s">
        <v>378</v>
      </c>
    </row>
    <row r="210" spans="1:5" x14ac:dyDescent="0.2">
      <c r="A210" t="s">
        <v>612</v>
      </c>
      <c r="B210" t="s">
        <v>29</v>
      </c>
      <c r="C210" t="s">
        <v>611</v>
      </c>
      <c r="D210">
        <v>25</v>
      </c>
      <c r="E210" t="s">
        <v>372</v>
      </c>
    </row>
    <row r="211" spans="1:5" x14ac:dyDescent="0.2">
      <c r="A211" t="s">
        <v>613</v>
      </c>
      <c r="B211" t="s">
        <v>27</v>
      </c>
      <c r="C211" t="s">
        <v>614</v>
      </c>
      <c r="D211">
        <v>48</v>
      </c>
      <c r="E211" t="s">
        <v>378</v>
      </c>
    </row>
    <row r="212" spans="1:5" x14ac:dyDescent="0.2">
      <c r="A212" t="s">
        <v>615</v>
      </c>
      <c r="B212" t="s">
        <v>45</v>
      </c>
      <c r="C212" t="s">
        <v>614</v>
      </c>
      <c r="D212">
        <v>10</v>
      </c>
      <c r="E212" t="s">
        <v>378</v>
      </c>
    </row>
    <row r="213" spans="1:5" x14ac:dyDescent="0.2">
      <c r="A213" t="s">
        <v>616</v>
      </c>
      <c r="B213" t="s">
        <v>65</v>
      </c>
      <c r="C213" t="s">
        <v>614</v>
      </c>
      <c r="D213">
        <v>38</v>
      </c>
      <c r="E213" t="s">
        <v>376</v>
      </c>
    </row>
    <row r="214" spans="1:5" x14ac:dyDescent="0.2">
      <c r="A214" t="s">
        <v>617</v>
      </c>
      <c r="B214" t="s">
        <v>65</v>
      </c>
      <c r="C214" t="s">
        <v>614</v>
      </c>
      <c r="D214">
        <v>44</v>
      </c>
      <c r="E214" t="s">
        <v>376</v>
      </c>
    </row>
    <row r="215" spans="1:5" x14ac:dyDescent="0.2">
      <c r="A215" t="s">
        <v>618</v>
      </c>
      <c r="B215" t="s">
        <v>41</v>
      </c>
      <c r="C215" t="s">
        <v>619</v>
      </c>
      <c r="D215">
        <v>32</v>
      </c>
      <c r="E215" t="s">
        <v>372</v>
      </c>
    </row>
    <row r="216" spans="1:5" x14ac:dyDescent="0.2">
      <c r="A216" t="s">
        <v>620</v>
      </c>
      <c r="B216" t="s">
        <v>47</v>
      </c>
      <c r="C216" t="s">
        <v>621</v>
      </c>
      <c r="D216">
        <v>10</v>
      </c>
      <c r="E216" t="s">
        <v>404</v>
      </c>
    </row>
    <row r="217" spans="1:5" x14ac:dyDescent="0.2">
      <c r="A217" t="s">
        <v>622</v>
      </c>
      <c r="B217" t="s">
        <v>72</v>
      </c>
      <c r="C217" t="s">
        <v>621</v>
      </c>
      <c r="D217">
        <v>52</v>
      </c>
      <c r="E217" t="s">
        <v>404</v>
      </c>
    </row>
    <row r="218" spans="1:5" x14ac:dyDescent="0.2">
      <c r="A218" t="s">
        <v>623</v>
      </c>
      <c r="B218" t="s">
        <v>49</v>
      </c>
      <c r="C218" t="s">
        <v>621</v>
      </c>
      <c r="D218">
        <v>32</v>
      </c>
      <c r="E218" t="s">
        <v>378</v>
      </c>
    </row>
    <row r="219" spans="1:5" x14ac:dyDescent="0.2">
      <c r="A219" t="s">
        <v>624</v>
      </c>
      <c r="B219" t="s">
        <v>69</v>
      </c>
      <c r="C219" t="s">
        <v>625</v>
      </c>
      <c r="D219">
        <v>18</v>
      </c>
      <c r="E219" t="s">
        <v>374</v>
      </c>
    </row>
    <row r="220" spans="1:5" x14ac:dyDescent="0.2">
      <c r="A220" t="s">
        <v>626</v>
      </c>
      <c r="B220" t="s">
        <v>10</v>
      </c>
      <c r="C220" t="s">
        <v>625</v>
      </c>
      <c r="D220">
        <v>9</v>
      </c>
      <c r="E220" t="s">
        <v>374</v>
      </c>
    </row>
    <row r="221" spans="1:5" x14ac:dyDescent="0.2">
      <c r="A221" t="s">
        <v>627</v>
      </c>
      <c r="B221" t="s">
        <v>45</v>
      </c>
      <c r="C221" t="s">
        <v>625</v>
      </c>
      <c r="D221">
        <v>36</v>
      </c>
      <c r="E221" t="s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5FD7-5646-2B4F-87E4-4DF8BEDEC5D2}">
  <dimension ref="A3:B10"/>
  <sheetViews>
    <sheetView workbookViewId="0">
      <selection activeCell="B4" sqref="B4"/>
    </sheetView>
  </sheetViews>
  <sheetFormatPr baseColWidth="10" defaultRowHeight="15" x14ac:dyDescent="0.2"/>
  <cols>
    <col min="1" max="1" width="14.33203125" bestFit="1" customWidth="1"/>
    <col min="2" max="2" width="15.33203125" bestFit="1" customWidth="1"/>
  </cols>
  <sheetData>
    <row r="3" spans="1:2" x14ac:dyDescent="0.2">
      <c r="A3" s="3" t="s">
        <v>633</v>
      </c>
      <c r="B3" t="s">
        <v>635</v>
      </c>
    </row>
    <row r="4" spans="1:2" x14ac:dyDescent="0.2">
      <c r="A4" s="4" t="s">
        <v>62</v>
      </c>
      <c r="B4" s="2">
        <v>1800201</v>
      </c>
    </row>
    <row r="5" spans="1:2" x14ac:dyDescent="0.2">
      <c r="A5" s="4" t="s">
        <v>8</v>
      </c>
      <c r="B5" s="2">
        <v>1020986</v>
      </c>
    </row>
    <row r="6" spans="1:2" x14ac:dyDescent="0.2">
      <c r="A6" s="4" t="s">
        <v>51</v>
      </c>
      <c r="B6" s="2">
        <v>1100229</v>
      </c>
    </row>
    <row r="7" spans="1:2" x14ac:dyDescent="0.2">
      <c r="A7" s="4" t="s">
        <v>37</v>
      </c>
      <c r="B7" s="2">
        <v>2073593</v>
      </c>
    </row>
    <row r="8" spans="1:2" x14ac:dyDescent="0.2">
      <c r="A8" s="4" t="s">
        <v>76</v>
      </c>
      <c r="B8" s="2">
        <v>2196499</v>
      </c>
    </row>
    <row r="9" spans="1:2" x14ac:dyDescent="0.2">
      <c r="A9" s="4" t="s">
        <v>24</v>
      </c>
      <c r="B9" s="2">
        <v>380740</v>
      </c>
    </row>
    <row r="10" spans="1:2" x14ac:dyDescent="0.2">
      <c r="A10" s="4" t="s">
        <v>634</v>
      </c>
      <c r="B10" s="2">
        <v>8572248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F8EE-A000-2C43-81CF-00C6AEE90E5D}">
  <dimension ref="A1:F3"/>
  <sheetViews>
    <sheetView tabSelected="1" workbookViewId="0">
      <selection activeCell="I17" sqref="I17"/>
    </sheetView>
  </sheetViews>
  <sheetFormatPr baseColWidth="10" defaultRowHeight="15" x14ac:dyDescent="0.2"/>
  <cols>
    <col min="3" max="3" width="16.6640625" customWidth="1"/>
    <col min="5" max="5" width="16.6640625" customWidth="1"/>
  </cols>
  <sheetData>
    <row r="1" spans="1:6" ht="19" x14ac:dyDescent="0.25">
      <c r="A1" s="6" t="s">
        <v>636</v>
      </c>
      <c r="B1" s="5"/>
      <c r="C1" s="7" t="s">
        <v>637</v>
      </c>
      <c r="D1" s="5"/>
      <c r="E1" s="8" t="s">
        <v>638</v>
      </c>
      <c r="F1" s="5"/>
    </row>
    <row r="2" spans="1:6" ht="19" x14ac:dyDescent="0.25">
      <c r="A2" s="6">
        <f>COUNTA(Inventory!A2:A35)</f>
        <v>34</v>
      </c>
      <c r="B2" s="5"/>
      <c r="C2" s="7">
        <f>COUNTIF(Inventory!J2:J35,"Reorder Now")</f>
        <v>14</v>
      </c>
      <c r="D2" s="5"/>
      <c r="E2" s="8">
        <f>SUM(Inventory!K2:K35)</f>
        <v>8572248</v>
      </c>
      <c r="F2" s="5"/>
    </row>
    <row r="3" spans="1:6" x14ac:dyDescent="0.2">
      <c r="A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</vt:lpstr>
      <vt:lpstr>StockIn</vt:lpstr>
      <vt:lpstr>StockOut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Bakhtawar Jalal</cp:lastModifiedBy>
  <dcterms:created xsi:type="dcterms:W3CDTF">2026-07-17T14:48:45Z</dcterms:created>
  <dcterms:modified xsi:type="dcterms:W3CDTF">2026-07-19T13:39:10Z</dcterms:modified>
</cp:coreProperties>
</file>